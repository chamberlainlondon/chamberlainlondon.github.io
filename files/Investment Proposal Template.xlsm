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comments2.xml" ContentType="application/vnd.openxmlformats-officedocument.spreadsheetml.comments+xml"/>
  <Override PartName="/xl/tables/table52.xml" ContentType="application/vnd.openxmlformats-officedocument.spreadsheetml.table+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4" codeName="{A21196BD-C3A1-11ED-6554-D22D5F7347BC}"/>
  <workbookPr codeName="ThisWorkbook" defaultThemeVersion="166925"/>
  <mc:AlternateContent xmlns:mc="http://schemas.openxmlformats.org/markup-compatibility/2006">
    <mc:Choice Requires="x15">
      <x15ac:absPath xmlns:x15ac="http://schemas.microsoft.com/office/spreadsheetml/2010/11/ac" url="/Users/london.chamberlain/Desktop/"/>
    </mc:Choice>
  </mc:AlternateContent>
  <xr:revisionPtr revIDLastSave="0" documentId="13_ncr:1_{B675402E-75B2-C741-8BA3-6662CEAECF91}" xr6:coauthVersionLast="47" xr6:coauthVersionMax="47" xr10:uidLastSave="{00000000-0000-0000-0000-000000000000}"/>
  <bookViews>
    <workbookView xWindow="0" yWindow="1000" windowWidth="34200" windowHeight="21100" tabRatio="605" activeTab="2" xr2:uid="{C222876B-9183-46D3-ABAA-D38DEF2C8DD0}"/>
  </bookViews>
  <sheets>
    <sheet name="Inputs" sheetId="1" state="hidden" r:id="rId1"/>
    <sheet name="Old Investment Proposal" sheetId="3" state="hidden" r:id="rId2"/>
    <sheet name="Investment Proposal Inputs" sheetId="9" r:id="rId3"/>
    <sheet name="Investment Proposal Errors" sheetId="12" state="hidden" r:id="rId4"/>
    <sheet name="Investment Proposal" sheetId="10" r:id="rId5"/>
    <sheet name="Cell Styles" sheetId="14" state="hidden" r:id="rId6"/>
    <sheet name="Errors" sheetId="21" state="hidden" r:id="rId7"/>
    <sheet name="Inv. Proposal Calculations" sheetId="11" r:id="rId8"/>
    <sheet name="Inv. Proposal Calculations Copy" sheetId="18" state="hidden" r:id="rId9"/>
    <sheet name="Investment Sleeves" sheetId="13" r:id="rId10"/>
    <sheet name="Plain View Mapped to ACT &amp; D" sheetId="19" state="hidden" r:id="rId11"/>
    <sheet name="Asset Class Tables and Dropdown" sheetId="2" r:id="rId12"/>
    <sheet name="Data Gathering" sheetId="4" state="hidden" r:id="rId13"/>
    <sheet name="Implementation" sheetId="5" state="hidden" r:id="rId14"/>
    <sheet name="Plain View" sheetId="6" r:id="rId15"/>
    <sheet name="Heat Map View" sheetId="7" r:id="rId16"/>
    <sheet name="Calcs" sheetId="8" state="hidden" r:id="rId17"/>
  </sheets>
  <definedNames>
    <definedName name="_xlnm._FilterDatabase" localSheetId="13" hidden="1">Implementation!$A$9:$E$71</definedName>
    <definedName name="_xlnm._FilterDatabase" localSheetId="4" hidden="1">'Investment Proposal'!$I$9:$I$201</definedName>
    <definedName name="_xlnm._FilterDatabase" localSheetId="1" hidden="1">'Old Investment Proposal'!$A$9:$H$102</definedName>
    <definedName name="AbsoluteReturn">'Old Investment Proposal'!$B$54</definedName>
    <definedName name="Advisor">Inputs!$B$27</definedName>
    <definedName name="Other">'Old Investment Proposal'!$B$89</definedName>
    <definedName name="_xlnm.Print_Area" localSheetId="12">'Data Gathering'!$A$1:$E$37</definedName>
    <definedName name="_xlnm.Print_Area" localSheetId="15">'Heat Map View'!$A$1:$M$104</definedName>
    <definedName name="_xlnm.Print_Area" localSheetId="4">'Investment Proposal'!$B$9:$H$201</definedName>
    <definedName name="_xlnm.Print_Area" localSheetId="1">'Old Investment Proposal'!$A$9:$G$101</definedName>
    <definedName name="_xlnm.Print_Area" localSheetId="14">'Plain View'!$A$1:$M$103</definedName>
    <definedName name="PrivateEquity">'Old Investment Proposal'!$B$36</definedName>
    <definedName name="PrivateLending">'Old Investment Proposal'!$B$29</definedName>
    <definedName name="Proposal_Date">'Investment Proposal Inputs'!#REF!</definedName>
    <definedName name="PublicEquity">'Old Investment Proposal'!$B$83</definedName>
    <definedName name="RealEstate">'Old Investment Proposal'!$B$23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45" i="9" l="1"/>
  <c r="K146" i="9" s="1"/>
  <c r="B76" i="9"/>
  <c r="M134" i="9"/>
  <c r="M139" i="9"/>
  <c r="M140" i="9"/>
  <c r="M141" i="9"/>
  <c r="M142" i="9"/>
  <c r="M146" i="9"/>
  <c r="N47" i="9"/>
  <c r="N48" i="9"/>
  <c r="N49" i="9"/>
  <c r="N50" i="9"/>
  <c r="N51" i="9"/>
  <c r="N52" i="9"/>
  <c r="N53" i="9"/>
  <c r="N54" i="9"/>
  <c r="N55" i="9"/>
  <c r="N56" i="9"/>
  <c r="N57" i="9"/>
  <c r="N66" i="9"/>
  <c r="N67" i="9"/>
  <c r="N68" i="9"/>
  <c r="N69" i="9"/>
  <c r="N70" i="9"/>
  <c r="N71" i="9"/>
  <c r="N89" i="9"/>
  <c r="N90" i="9"/>
  <c r="N93" i="9"/>
  <c r="N94" i="9"/>
  <c r="N95" i="9"/>
  <c r="N96" i="9"/>
  <c r="N117" i="9"/>
  <c r="N118" i="9"/>
  <c r="N119" i="9"/>
  <c r="N120" i="9"/>
  <c r="N131" i="9"/>
  <c r="B27" i="9"/>
  <c r="K145" i="9" l="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B136" i="11"/>
  <c r="B137" i="11"/>
  <c r="B138" i="11"/>
  <c r="B139" i="11"/>
  <c r="B140" i="11"/>
  <c r="B141" i="11"/>
  <c r="B142" i="11"/>
  <c r="B143" i="11"/>
  <c r="B144" i="11"/>
  <c r="B145" i="11"/>
  <c r="B146" i="11"/>
  <c r="B147" i="11"/>
  <c r="B148" i="11"/>
  <c r="B149" i="11"/>
  <c r="B150" i="11"/>
  <c r="B151" i="11"/>
  <c r="B152" i="11"/>
  <c r="B153" i="11"/>
  <c r="B154" i="11"/>
  <c r="B155" i="11"/>
  <c r="B156" i="11"/>
  <c r="B157" i="11"/>
  <c r="B158" i="11"/>
  <c r="B159" i="11"/>
  <c r="B160" i="11"/>
  <c r="B161" i="11"/>
  <c r="B162" i="11"/>
  <c r="B11" i="10" l="1"/>
  <c r="B39" i="9"/>
  <c r="U192" i="10"/>
  <c r="T192" i="10"/>
  <c r="S192" i="10"/>
  <c r="R192" i="10"/>
  <c r="Q192" i="10"/>
  <c r="P192" i="10"/>
  <c r="O192"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40" i="10"/>
  <c r="K141" i="10"/>
  <c r="K142" i="10"/>
  <c r="K143" i="10"/>
  <c r="K144" i="10"/>
  <c r="K145" i="10"/>
  <c r="K146" i="10"/>
  <c r="K147" i="10"/>
  <c r="K148" i="10"/>
  <c r="K149" i="10"/>
  <c r="K150" i="10"/>
  <c r="K151" i="10"/>
  <c r="K152" i="10"/>
  <c r="K153" i="10"/>
  <c r="K154" i="10"/>
  <c r="K155" i="10"/>
  <c r="K156" i="10"/>
  <c r="K157" i="10"/>
  <c r="K158" i="10"/>
  <c r="K159" i="10"/>
  <c r="K160" i="10"/>
  <c r="K161" i="10"/>
  <c r="K162" i="10"/>
  <c r="K163" i="10"/>
  <c r="K164" i="10"/>
  <c r="K165" i="10"/>
  <c r="K166" i="10"/>
  <c r="K167" i="10"/>
  <c r="K168" i="10"/>
  <c r="K169" i="10"/>
  <c r="K170" i="10"/>
  <c r="K171" i="10"/>
  <c r="K172" i="10"/>
  <c r="K173" i="10"/>
  <c r="K174" i="10"/>
  <c r="K175" i="10"/>
  <c r="K176" i="10"/>
  <c r="K177" i="10"/>
  <c r="K178" i="10"/>
  <c r="K179" i="10"/>
  <c r="K180" i="10"/>
  <c r="K181" i="10"/>
  <c r="K182" i="10"/>
  <c r="K183" i="10"/>
  <c r="K184" i="10"/>
  <c r="K185" i="10"/>
  <c r="K186" i="10"/>
  <c r="K187" i="10"/>
  <c r="K188" i="10"/>
  <c r="K189" i="10"/>
  <c r="K190" i="10"/>
  <c r="K191" i="10"/>
  <c r="D23" i="10"/>
  <c r="G23" i="10"/>
  <c r="H23" i="10"/>
  <c r="D24" i="10"/>
  <c r="G24" i="10"/>
  <c r="H24" i="10"/>
  <c r="D25" i="10"/>
  <c r="G25" i="10"/>
  <c r="H25" i="10"/>
  <c r="G26" i="10"/>
  <c r="H26" i="10"/>
  <c r="D27" i="10"/>
  <c r="G27" i="10"/>
  <c r="H27" i="10"/>
  <c r="D28" i="10"/>
  <c r="G28" i="10"/>
  <c r="H28" i="10"/>
  <c r="D29" i="10"/>
  <c r="G29" i="10"/>
  <c r="H29" i="10"/>
  <c r="D30" i="10"/>
  <c r="G30" i="10"/>
  <c r="H30" i="10"/>
  <c r="D31" i="10"/>
  <c r="G31" i="10"/>
  <c r="H31" i="10"/>
  <c r="D32" i="10"/>
  <c r="G32" i="10"/>
  <c r="H32" i="10"/>
  <c r="D33" i="10"/>
  <c r="G33" i="10"/>
  <c r="H33" i="10"/>
  <c r="D34" i="10"/>
  <c r="G34" i="10"/>
  <c r="H34" i="10"/>
  <c r="D35" i="10"/>
  <c r="G35" i="10"/>
  <c r="H35" i="10"/>
  <c r="D36" i="10"/>
  <c r="G36" i="10"/>
  <c r="H36" i="10"/>
  <c r="D37" i="10"/>
  <c r="G37" i="10"/>
  <c r="H37" i="10"/>
  <c r="D47" i="10"/>
  <c r="G47" i="10"/>
  <c r="H47" i="10"/>
  <c r="D48" i="10"/>
  <c r="G48" i="10"/>
  <c r="H48" i="10"/>
  <c r="D49" i="10"/>
  <c r="G49" i="10"/>
  <c r="H49" i="10"/>
  <c r="D50" i="10"/>
  <c r="G50" i="10"/>
  <c r="H50" i="10"/>
  <c r="D51" i="10"/>
  <c r="G51" i="10"/>
  <c r="H51" i="10"/>
  <c r="D52" i="10"/>
  <c r="G52" i="10"/>
  <c r="H52" i="10"/>
  <c r="D53" i="10"/>
  <c r="G53" i="10"/>
  <c r="H53" i="10"/>
  <c r="D64" i="10"/>
  <c r="G64" i="10"/>
  <c r="H64" i="10"/>
  <c r="D65" i="10"/>
  <c r="G65" i="10"/>
  <c r="H65" i="10"/>
  <c r="D66" i="10"/>
  <c r="G66" i="10"/>
  <c r="H66" i="10"/>
  <c r="D67" i="10"/>
  <c r="G67" i="10"/>
  <c r="H67" i="10"/>
  <c r="D68" i="10"/>
  <c r="G68" i="10"/>
  <c r="H68" i="10"/>
  <c r="D78" i="10"/>
  <c r="G78" i="10"/>
  <c r="H78" i="10"/>
  <c r="D79" i="10"/>
  <c r="G79" i="10"/>
  <c r="H79" i="10"/>
  <c r="D80" i="10"/>
  <c r="G80" i="10"/>
  <c r="H80" i="10"/>
  <c r="D81" i="10"/>
  <c r="G81" i="10"/>
  <c r="H81" i="10"/>
  <c r="D88" i="10"/>
  <c r="G88" i="10"/>
  <c r="H88" i="10"/>
  <c r="D89" i="10"/>
  <c r="G89" i="10"/>
  <c r="H89" i="10"/>
  <c r="D90" i="10"/>
  <c r="G90" i="10"/>
  <c r="H90" i="10"/>
  <c r="D91" i="10"/>
  <c r="G91" i="10"/>
  <c r="H91" i="10"/>
  <c r="D92" i="10"/>
  <c r="G92" i="10"/>
  <c r="H92" i="10"/>
  <c r="D93" i="10"/>
  <c r="G93" i="10"/>
  <c r="H93" i="10"/>
  <c r="D94" i="10"/>
  <c r="G94" i="10"/>
  <c r="H94" i="10"/>
  <c r="D95" i="10"/>
  <c r="G95" i="10"/>
  <c r="H95" i="10"/>
  <c r="D96" i="10"/>
  <c r="G96" i="10"/>
  <c r="H96" i="10"/>
  <c r="D97" i="10"/>
  <c r="G97" i="10"/>
  <c r="H97" i="10"/>
  <c r="D98" i="10"/>
  <c r="G98" i="10"/>
  <c r="H98" i="10"/>
  <c r="D99" i="10"/>
  <c r="G99" i="10"/>
  <c r="H99" i="10"/>
  <c r="D100" i="10"/>
  <c r="G100" i="10"/>
  <c r="H100" i="10"/>
  <c r="D101" i="10"/>
  <c r="G101" i="10"/>
  <c r="H101" i="10"/>
  <c r="D102" i="10"/>
  <c r="G102" i="10"/>
  <c r="H102" i="10"/>
  <c r="D103" i="10"/>
  <c r="G103" i="10"/>
  <c r="H103" i="10"/>
  <c r="D115" i="10"/>
  <c r="G115" i="10"/>
  <c r="H115" i="10"/>
  <c r="D116" i="10"/>
  <c r="G116" i="10"/>
  <c r="H116" i="10"/>
  <c r="D117" i="10"/>
  <c r="G117" i="10"/>
  <c r="H117" i="10"/>
  <c r="D122" i="10"/>
  <c r="G122" i="10"/>
  <c r="H122" i="10"/>
  <c r="D123" i="10"/>
  <c r="G123" i="10"/>
  <c r="H123" i="10"/>
  <c r="G124" i="10"/>
  <c r="H124" i="10"/>
  <c r="D125" i="10"/>
  <c r="G125" i="10"/>
  <c r="H125" i="10"/>
  <c r="D126" i="10"/>
  <c r="G126" i="10"/>
  <c r="H126" i="10"/>
  <c r="D127" i="10"/>
  <c r="G127" i="10"/>
  <c r="H127" i="10"/>
  <c r="D128" i="10"/>
  <c r="G128" i="10"/>
  <c r="H128" i="10"/>
  <c r="D129" i="10"/>
  <c r="G129" i="10"/>
  <c r="H129" i="10"/>
  <c r="D130" i="10"/>
  <c r="G130" i="10"/>
  <c r="H130" i="10"/>
  <c r="D131" i="10"/>
  <c r="G131" i="10"/>
  <c r="H131" i="10"/>
  <c r="G132" i="10"/>
  <c r="H132" i="10"/>
  <c r="D133" i="10"/>
  <c r="G133" i="10"/>
  <c r="H133" i="10"/>
  <c r="G134" i="10"/>
  <c r="H134" i="10"/>
  <c r="G135" i="10"/>
  <c r="H135" i="10"/>
  <c r="G136" i="10"/>
  <c r="H136" i="10"/>
  <c r="D137" i="10"/>
  <c r="G137" i="10"/>
  <c r="H137" i="10"/>
  <c r="D138" i="10"/>
  <c r="G138" i="10"/>
  <c r="H138" i="10"/>
  <c r="D139" i="10"/>
  <c r="G139" i="10"/>
  <c r="H139" i="10"/>
  <c r="D140" i="10"/>
  <c r="G140" i="10"/>
  <c r="H140" i="10"/>
  <c r="D141" i="10"/>
  <c r="G141" i="10"/>
  <c r="H141" i="10"/>
  <c r="D142" i="10"/>
  <c r="G142" i="10"/>
  <c r="H142" i="10"/>
  <c r="G143" i="10"/>
  <c r="H143" i="10"/>
  <c r="D144" i="10"/>
  <c r="G144" i="10"/>
  <c r="H144" i="10"/>
  <c r="D145" i="10"/>
  <c r="G145" i="10"/>
  <c r="H145" i="10"/>
  <c r="D146" i="10"/>
  <c r="G146" i="10"/>
  <c r="H146" i="10"/>
  <c r="G147" i="10"/>
  <c r="H147" i="10"/>
  <c r="D148" i="10"/>
  <c r="G148" i="10"/>
  <c r="H148" i="10"/>
  <c r="G149" i="10"/>
  <c r="H149" i="10"/>
  <c r="D150" i="10"/>
  <c r="G150" i="10"/>
  <c r="H150" i="10"/>
  <c r="D151" i="10"/>
  <c r="G151" i="10"/>
  <c r="H151" i="10"/>
  <c r="G152" i="10"/>
  <c r="H152" i="10"/>
  <c r="D153" i="10"/>
  <c r="G153" i="10"/>
  <c r="H153" i="10"/>
  <c r="D154" i="10"/>
  <c r="G154" i="10"/>
  <c r="H154" i="10"/>
  <c r="D155" i="10"/>
  <c r="G155" i="10"/>
  <c r="H155" i="10"/>
  <c r="D156" i="10"/>
  <c r="G156" i="10"/>
  <c r="H156" i="10"/>
  <c r="G157" i="10"/>
  <c r="H157" i="10"/>
  <c r="D158" i="10"/>
  <c r="G158" i="10"/>
  <c r="H158" i="10"/>
  <c r="D159" i="10"/>
  <c r="G159" i="10"/>
  <c r="H159" i="10"/>
  <c r="D160" i="10"/>
  <c r="G160" i="10"/>
  <c r="H160" i="10"/>
  <c r="G161" i="10"/>
  <c r="H161" i="10"/>
  <c r="D162" i="10"/>
  <c r="G162" i="10"/>
  <c r="H162" i="10"/>
  <c r="D163" i="10"/>
  <c r="G163" i="10"/>
  <c r="H163" i="10"/>
  <c r="D164" i="10"/>
  <c r="G164" i="10"/>
  <c r="H164" i="10"/>
  <c r="D165" i="10"/>
  <c r="G165" i="10"/>
  <c r="H165" i="10"/>
  <c r="D166" i="10"/>
  <c r="G166" i="10"/>
  <c r="H166" i="10"/>
  <c r="D167" i="10"/>
  <c r="G167" i="10"/>
  <c r="H167" i="10"/>
  <c r="D168" i="10"/>
  <c r="G168" i="10"/>
  <c r="H168" i="10"/>
  <c r="D169" i="10"/>
  <c r="G169" i="10"/>
  <c r="H169" i="10"/>
  <c r="D170" i="10"/>
  <c r="G170" i="10"/>
  <c r="H170" i="10"/>
  <c r="D171" i="10"/>
  <c r="G171" i="10"/>
  <c r="H171" i="10"/>
  <c r="D172" i="10"/>
  <c r="G172" i="10"/>
  <c r="H172" i="10"/>
  <c r="D173" i="10"/>
  <c r="G173" i="10"/>
  <c r="H173" i="10"/>
  <c r="D174" i="10"/>
  <c r="G174" i="10"/>
  <c r="H174" i="10"/>
  <c r="H121" i="10"/>
  <c r="G121" i="10"/>
  <c r="D121" i="10"/>
  <c r="K15" i="10"/>
  <c r="G17" i="10"/>
  <c r="H17" i="10"/>
  <c r="D18" i="10"/>
  <c r="G18" i="10"/>
  <c r="H18" i="10"/>
  <c r="D19" i="10"/>
  <c r="G19" i="10"/>
  <c r="H19" i="10"/>
  <c r="G20" i="10"/>
  <c r="H20" i="10"/>
  <c r="D21" i="10"/>
  <c r="G21" i="10"/>
  <c r="H21" i="10"/>
  <c r="G22" i="10"/>
  <c r="H22" i="10"/>
  <c r="H16" i="10"/>
  <c r="G16" i="10"/>
  <c r="C6" i="21" a="1"/>
  <c r="C6" i="21" l="1"/>
  <c r="E48" i="9"/>
  <c r="E49" i="9"/>
  <c r="E50" i="9"/>
  <c r="E51" i="9"/>
  <c r="E52" i="9"/>
  <c r="E53" i="9"/>
  <c r="E54" i="9"/>
  <c r="E55" i="9"/>
  <c r="E56" i="9"/>
  <c r="E57" i="9"/>
  <c r="E47" i="9"/>
  <c r="D54" i="9"/>
  <c r="D53" i="9"/>
  <c r="D52" i="9"/>
  <c r="D51" i="9"/>
  <c r="D50" i="9"/>
  <c r="D49" i="9"/>
  <c r="D48" i="9"/>
  <c r="D55" i="9"/>
  <c r="D56" i="9"/>
  <c r="D57" i="9"/>
  <c r="D47" i="9"/>
  <c r="G47" i="9"/>
  <c r="B1" i="9"/>
  <c r="B9" i="10" s="1"/>
  <c r="B71" i="11"/>
  <c r="B152" i="9" s="1"/>
  <c r="B72" i="11"/>
  <c r="E72" i="11" s="1"/>
  <c r="B73" i="11"/>
  <c r="E73" i="11" s="1"/>
  <c r="B74" i="11"/>
  <c r="B155" i="9" s="1"/>
  <c r="B75" i="11"/>
  <c r="E75" i="11" s="1"/>
  <c r="B76" i="11"/>
  <c r="E76" i="11" s="1"/>
  <c r="B77" i="11"/>
  <c r="E77" i="11" s="1"/>
  <c r="B78" i="11"/>
  <c r="E78" i="11" s="1"/>
  <c r="B79" i="11"/>
  <c r="E79" i="11" s="1"/>
  <c r="B80" i="11"/>
  <c r="B161" i="9" s="1"/>
  <c r="B81" i="11"/>
  <c r="E81" i="11" s="1"/>
  <c r="B163" i="9"/>
  <c r="B164" i="9"/>
  <c r="E84" i="11"/>
  <c r="E85" i="11"/>
  <c r="E86" i="11"/>
  <c r="E87" i="11"/>
  <c r="E88" i="11"/>
  <c r="E89" i="11"/>
  <c r="E90" i="11"/>
  <c r="B172" i="9"/>
  <c r="B173" i="9"/>
  <c r="E93" i="11"/>
  <c r="E94" i="11"/>
  <c r="E95" i="11"/>
  <c r="E96" i="11"/>
  <c r="E97" i="11"/>
  <c r="B179" i="9"/>
  <c r="B180" i="9"/>
  <c r="E100" i="11"/>
  <c r="E101" i="11"/>
  <c r="E102" i="11"/>
  <c r="E103" i="11"/>
  <c r="E104" i="11"/>
  <c r="E105" i="11"/>
  <c r="E106" i="11"/>
  <c r="B188" i="9"/>
  <c r="E108" i="11"/>
  <c r="E109" i="11"/>
  <c r="E110" i="11"/>
  <c r="B192" i="9"/>
  <c r="B193" i="9"/>
  <c r="B194" i="9"/>
  <c r="E114" i="11"/>
  <c r="E115" i="11"/>
  <c r="E116" i="11"/>
  <c r="E117" i="11"/>
  <c r="E118" i="11"/>
  <c r="E119" i="11"/>
  <c r="E120" i="11"/>
  <c r="B202" i="9"/>
  <c r="B203" i="9"/>
  <c r="B204" i="9"/>
  <c r="B205" i="9"/>
  <c r="B206" i="9"/>
  <c r="B207" i="9"/>
  <c r="B208" i="9"/>
  <c r="B209" i="9"/>
  <c r="B210" i="9"/>
  <c r="B211" i="9"/>
  <c r="B212" i="9"/>
  <c r="E132" i="11"/>
  <c r="E133" i="11"/>
  <c r="B215" i="9"/>
  <c r="B216" i="9"/>
  <c r="B217" i="9"/>
  <c r="B218" i="9"/>
  <c r="B219" i="9"/>
  <c r="B220" i="9"/>
  <c r="B221" i="9"/>
  <c r="E141" i="11"/>
  <c r="E142" i="11"/>
  <c r="B224" i="9"/>
  <c r="E144" i="11"/>
  <c r="B226" i="9"/>
  <c r="E146" i="11"/>
  <c r="B228" i="9"/>
  <c r="B229" i="9"/>
  <c r="E149" i="11"/>
  <c r="B231" i="9"/>
  <c r="E151" i="11"/>
  <c r="E152" i="11"/>
  <c r="B234" i="9"/>
  <c r="E154" i="11"/>
  <c r="B236" i="9"/>
  <c r="B237" i="9"/>
  <c r="B238" i="9"/>
  <c r="B239" i="9"/>
  <c r="E159" i="11"/>
  <c r="E160" i="11"/>
  <c r="E161" i="11"/>
  <c r="E162" i="11"/>
  <c r="B70" i="11"/>
  <c r="E70" i="11" s="1"/>
  <c r="B197" i="18"/>
  <c r="E197" i="18" s="1"/>
  <c r="B196" i="18"/>
  <c r="E196" i="18" s="1"/>
  <c r="B195" i="18"/>
  <c r="E195" i="18" s="1"/>
  <c r="B194" i="18"/>
  <c r="E194" i="18" s="1"/>
  <c r="E193" i="18"/>
  <c r="B193" i="18"/>
  <c r="B192" i="18"/>
  <c r="E192" i="18" s="1"/>
  <c r="B191" i="18"/>
  <c r="E191" i="18" s="1"/>
  <c r="B190" i="18"/>
  <c r="E190" i="18" s="1"/>
  <c r="B189" i="18"/>
  <c r="E189" i="18" s="1"/>
  <c r="B188" i="18"/>
  <c r="E188" i="18" s="1"/>
  <c r="B187" i="18"/>
  <c r="E187" i="18" s="1"/>
  <c r="B186" i="18"/>
  <c r="E186" i="18" s="1"/>
  <c r="B185" i="18"/>
  <c r="E185" i="18" s="1"/>
  <c r="E184" i="18"/>
  <c r="B184" i="18"/>
  <c r="B183" i="18"/>
  <c r="E183" i="18" s="1"/>
  <c r="B182" i="18"/>
  <c r="E182" i="18" s="1"/>
  <c r="B181" i="18"/>
  <c r="E181" i="18" s="1"/>
  <c r="B180" i="18"/>
  <c r="E180" i="18" s="1"/>
  <c r="B179" i="18"/>
  <c r="E179" i="18" s="1"/>
  <c r="B178" i="18"/>
  <c r="E178" i="18" s="1"/>
  <c r="E177" i="18"/>
  <c r="B177" i="18"/>
  <c r="B176" i="18"/>
  <c r="E176" i="18" s="1"/>
  <c r="B175" i="18"/>
  <c r="E175" i="18" s="1"/>
  <c r="B174" i="18"/>
  <c r="E174" i="18" s="1"/>
  <c r="B173" i="18"/>
  <c r="E173" i="18" s="1"/>
  <c r="B172" i="18"/>
  <c r="E172" i="18" s="1"/>
  <c r="B171" i="18"/>
  <c r="E171" i="18" s="1"/>
  <c r="B170" i="18"/>
  <c r="E170" i="18" s="1"/>
  <c r="B169" i="18"/>
  <c r="E169" i="18" s="1"/>
  <c r="E168" i="18"/>
  <c r="B168" i="18"/>
  <c r="B167" i="18"/>
  <c r="E167" i="18" s="1"/>
  <c r="B166" i="18"/>
  <c r="E166" i="18" s="1"/>
  <c r="B165" i="18"/>
  <c r="E165" i="18" s="1"/>
  <c r="B164" i="18"/>
  <c r="E164" i="18" s="1"/>
  <c r="B163" i="18"/>
  <c r="E163" i="18" s="1"/>
  <c r="B162" i="18"/>
  <c r="E162" i="18" s="1"/>
  <c r="E161" i="18"/>
  <c r="B161" i="18"/>
  <c r="B160" i="18"/>
  <c r="E160" i="18" s="1"/>
  <c r="B159" i="18"/>
  <c r="E159" i="18" s="1"/>
  <c r="B158" i="18"/>
  <c r="E158" i="18" s="1"/>
  <c r="B157" i="18"/>
  <c r="E157" i="18" s="1"/>
  <c r="B156" i="18"/>
  <c r="E156" i="18" s="1"/>
  <c r="B155" i="18"/>
  <c r="E155" i="18" s="1"/>
  <c r="B154" i="18"/>
  <c r="E154" i="18" s="1"/>
  <c r="B153" i="18"/>
  <c r="E153" i="18" s="1"/>
  <c r="E152" i="18"/>
  <c r="B152" i="18"/>
  <c r="B151" i="18"/>
  <c r="E151" i="18" s="1"/>
  <c r="B150" i="18"/>
  <c r="E150" i="18" s="1"/>
  <c r="B149" i="18"/>
  <c r="E149" i="18" s="1"/>
  <c r="B148" i="18"/>
  <c r="E148" i="18" s="1"/>
  <c r="B147" i="18"/>
  <c r="E147" i="18" s="1"/>
  <c r="B146" i="18"/>
  <c r="E146" i="18" s="1"/>
  <c r="E145" i="18"/>
  <c r="B145" i="18"/>
  <c r="B144" i="18"/>
  <c r="E144" i="18" s="1"/>
  <c r="B143" i="18"/>
  <c r="E143" i="18" s="1"/>
  <c r="E142" i="18"/>
  <c r="B142" i="18"/>
  <c r="B141" i="18"/>
  <c r="E141" i="18" s="1"/>
  <c r="B140" i="18"/>
  <c r="E140" i="18" s="1"/>
  <c r="B139" i="18"/>
  <c r="E139" i="18" s="1"/>
  <c r="B138" i="18"/>
  <c r="E138" i="18" s="1"/>
  <c r="B137" i="18"/>
  <c r="E137" i="18" s="1"/>
  <c r="E136" i="18"/>
  <c r="B136" i="18"/>
  <c r="B135" i="18"/>
  <c r="E135" i="18" s="1"/>
  <c r="E134" i="18"/>
  <c r="B134" i="18"/>
  <c r="B133" i="18"/>
  <c r="E133" i="18" s="1"/>
  <c r="B132" i="18"/>
  <c r="E132" i="18" s="1"/>
  <c r="B131" i="18"/>
  <c r="E131" i="18" s="1"/>
  <c r="B130" i="18"/>
  <c r="E130" i="18" s="1"/>
  <c r="B129" i="18"/>
  <c r="E129" i="18" s="1"/>
  <c r="E128" i="18"/>
  <c r="B128" i="18"/>
  <c r="B127" i="18"/>
  <c r="E127" i="18" s="1"/>
  <c r="B126" i="18"/>
  <c r="E126" i="18" s="1"/>
  <c r="B125" i="18"/>
  <c r="E125" i="18" s="1"/>
  <c r="B124" i="18"/>
  <c r="E124" i="18" s="1"/>
  <c r="B123" i="18"/>
  <c r="E123" i="18" s="1"/>
  <c r="B122" i="18"/>
  <c r="E122" i="18" s="1"/>
  <c r="E121" i="18"/>
  <c r="B121" i="18"/>
  <c r="B120" i="18"/>
  <c r="E120" i="18" s="1"/>
  <c r="B119" i="18"/>
  <c r="E119" i="18" s="1"/>
  <c r="B118" i="18"/>
  <c r="E118" i="18" s="1"/>
  <c r="B117" i="18"/>
  <c r="E117" i="18" s="1"/>
  <c r="B116" i="18"/>
  <c r="E116" i="18" s="1"/>
  <c r="B115" i="18"/>
  <c r="E115" i="18" s="1"/>
  <c r="B114" i="18"/>
  <c r="E114" i="18" s="1"/>
  <c r="E113" i="18"/>
  <c r="B113" i="18"/>
  <c r="B112" i="18"/>
  <c r="E112" i="18" s="1"/>
  <c r="B111" i="18"/>
  <c r="E111" i="18" s="1"/>
  <c r="E110" i="18"/>
  <c r="B110" i="18"/>
  <c r="B109" i="18"/>
  <c r="E109" i="18" s="1"/>
  <c r="B108" i="18"/>
  <c r="E108" i="18" s="1"/>
  <c r="B107" i="18"/>
  <c r="E107" i="18" s="1"/>
  <c r="B106" i="18"/>
  <c r="E106" i="18" s="1"/>
  <c r="E105" i="18"/>
  <c r="B105" i="18"/>
  <c r="E104" i="18"/>
  <c r="B104" i="18"/>
  <c r="B103" i="18"/>
  <c r="E103" i="18" s="1"/>
  <c r="E102" i="18"/>
  <c r="B102" i="18"/>
  <c r="B101" i="18"/>
  <c r="E101" i="18" s="1"/>
  <c r="B100" i="18"/>
  <c r="E100" i="18" s="1"/>
  <c r="B99" i="18"/>
  <c r="E99" i="18" s="1"/>
  <c r="B98" i="18"/>
  <c r="E98" i="18" s="1"/>
  <c r="B97" i="18"/>
  <c r="E97" i="18" s="1"/>
  <c r="E96" i="18"/>
  <c r="B96" i="18"/>
  <c r="B95" i="18"/>
  <c r="E95" i="18" s="1"/>
  <c r="B94" i="18"/>
  <c r="E94" i="18" s="1"/>
  <c r="B93" i="18"/>
  <c r="E93" i="18" s="1"/>
  <c r="B92" i="18"/>
  <c r="E92" i="18" s="1"/>
  <c r="B91" i="18"/>
  <c r="E91" i="18" s="1"/>
  <c r="B90" i="18"/>
  <c r="E90" i="18" s="1"/>
  <c r="E89" i="18"/>
  <c r="B89" i="18"/>
  <c r="B88" i="18"/>
  <c r="E88" i="18" s="1"/>
  <c r="B87" i="18"/>
  <c r="E87" i="18" s="1"/>
  <c r="B86" i="18"/>
  <c r="E86" i="18" s="1"/>
  <c r="B85" i="18"/>
  <c r="E85" i="18" s="1"/>
  <c r="B84" i="18"/>
  <c r="E84" i="18" s="1"/>
  <c r="B83" i="18"/>
  <c r="E83" i="18" s="1"/>
  <c r="B82" i="18"/>
  <c r="E82" i="18" s="1"/>
  <c r="B81" i="18"/>
  <c r="E81" i="18" s="1"/>
  <c r="E80" i="18"/>
  <c r="B80" i="18"/>
  <c r="B79" i="18"/>
  <c r="E79" i="18" s="1"/>
  <c r="B78" i="18"/>
  <c r="E78" i="18" s="1"/>
  <c r="B77" i="18"/>
  <c r="E77" i="18" s="1"/>
  <c r="B76" i="18"/>
  <c r="E76" i="18" s="1"/>
  <c r="B75" i="18"/>
  <c r="E75" i="18" s="1"/>
  <c r="B74" i="18"/>
  <c r="E74" i="18" s="1"/>
  <c r="E73" i="18"/>
  <c r="B73" i="18"/>
  <c r="B72" i="18"/>
  <c r="E72" i="18" s="1"/>
  <c r="B71" i="18"/>
  <c r="E71" i="18" s="1"/>
  <c r="B70" i="18"/>
  <c r="E70" i="18" s="1"/>
  <c r="B69" i="18"/>
  <c r="E69" i="18" s="1"/>
  <c r="B68" i="18"/>
  <c r="E68" i="18" s="1"/>
  <c r="B67" i="18"/>
  <c r="E67" i="18" s="1"/>
  <c r="B66" i="18"/>
  <c r="E66" i="18" s="1"/>
  <c r="B65" i="18"/>
  <c r="E65" i="18" s="1"/>
  <c r="E64" i="18"/>
  <c r="B64" i="18"/>
  <c r="B63" i="18"/>
  <c r="E63" i="18" s="1"/>
  <c r="B62" i="18"/>
  <c r="E62" i="18" s="1"/>
  <c r="B61" i="18"/>
  <c r="E61" i="18" s="1"/>
  <c r="B60" i="18"/>
  <c r="E60" i="18" s="1"/>
  <c r="B59" i="18"/>
  <c r="E59" i="18" s="1"/>
  <c r="B58" i="18"/>
  <c r="E58" i="18" s="1"/>
  <c r="E57" i="18"/>
  <c r="B57" i="18"/>
  <c r="D161" i="10"/>
  <c r="D157" i="10"/>
  <c r="D152" i="10"/>
  <c r="D149" i="10"/>
  <c r="D147" i="10"/>
  <c r="D143" i="10"/>
  <c r="D136" i="10"/>
  <c r="D135" i="10"/>
  <c r="D134" i="10"/>
  <c r="D132" i="10"/>
  <c r="D124" i="10"/>
  <c r="D87" i="10"/>
  <c r="D46" i="10"/>
  <c r="D26" i="10"/>
  <c r="D22" i="10"/>
  <c r="D20" i="10"/>
  <c r="D17" i="10"/>
  <c r="D16" i="10"/>
  <c r="B66" i="9" a="1"/>
  <c r="B47" i="9" a="1"/>
  <c r="D179" i="10"/>
  <c r="G179" i="10"/>
  <c r="H179" i="10"/>
  <c r="D180" i="10"/>
  <c r="G180" i="10"/>
  <c r="H180" i="10"/>
  <c r="D181" i="10"/>
  <c r="G181" i="10"/>
  <c r="H181" i="10"/>
  <c r="D182" i="10"/>
  <c r="G182" i="10"/>
  <c r="H182" i="10"/>
  <c r="D183" i="10"/>
  <c r="G183" i="10"/>
  <c r="H183" i="10"/>
  <c r="D184" i="10"/>
  <c r="G184" i="10"/>
  <c r="H184" i="10"/>
  <c r="D185" i="10"/>
  <c r="G185" i="10"/>
  <c r="H185" i="10"/>
  <c r="D186" i="10"/>
  <c r="G186" i="10"/>
  <c r="H186" i="10"/>
  <c r="D187" i="10"/>
  <c r="G187" i="10"/>
  <c r="H187" i="10"/>
  <c r="D188" i="10"/>
  <c r="G188" i="10"/>
  <c r="H188" i="10"/>
  <c r="H178" i="10"/>
  <c r="G178" i="10"/>
  <c r="D178" i="10"/>
  <c r="G108" i="10"/>
  <c r="H108" i="10"/>
  <c r="D109" i="10"/>
  <c r="G109" i="10"/>
  <c r="H109" i="10"/>
  <c r="G110" i="10"/>
  <c r="H110" i="10"/>
  <c r="D111" i="10"/>
  <c r="G111" i="10"/>
  <c r="H111" i="10"/>
  <c r="D112" i="10"/>
  <c r="G112" i="10"/>
  <c r="H112" i="10"/>
  <c r="D113" i="10"/>
  <c r="G113" i="10"/>
  <c r="H113" i="10"/>
  <c r="D114" i="10"/>
  <c r="G114" i="10"/>
  <c r="H114" i="10"/>
  <c r="H107" i="10"/>
  <c r="G107" i="10"/>
  <c r="D107" i="10"/>
  <c r="D86" i="10"/>
  <c r="G86" i="10"/>
  <c r="H86" i="10"/>
  <c r="G87" i="10"/>
  <c r="H87" i="10"/>
  <c r="H85" i="10"/>
  <c r="G85" i="10"/>
  <c r="D73" i="10"/>
  <c r="G73" i="10"/>
  <c r="H73" i="10"/>
  <c r="D74" i="10"/>
  <c r="G74" i="10"/>
  <c r="H74" i="10"/>
  <c r="D75" i="10"/>
  <c r="G75" i="10"/>
  <c r="H75" i="10"/>
  <c r="D76" i="10"/>
  <c r="G76" i="10"/>
  <c r="H76" i="10"/>
  <c r="D77" i="10"/>
  <c r="G77" i="10"/>
  <c r="H77" i="10"/>
  <c r="H72" i="10"/>
  <c r="G72" i="10"/>
  <c r="D72" i="10"/>
  <c r="D58" i="10"/>
  <c r="G58" i="10"/>
  <c r="H58" i="10"/>
  <c r="D59" i="10"/>
  <c r="G59" i="10"/>
  <c r="H59" i="10"/>
  <c r="D60" i="10"/>
  <c r="G60" i="10"/>
  <c r="H60" i="10"/>
  <c r="D61" i="10"/>
  <c r="G61" i="10"/>
  <c r="H61" i="10"/>
  <c r="D62" i="10"/>
  <c r="G62" i="10"/>
  <c r="H62" i="10"/>
  <c r="D63" i="10"/>
  <c r="G63" i="10"/>
  <c r="H63" i="10"/>
  <c r="H57" i="10"/>
  <c r="G57" i="10"/>
  <c r="D57" i="10"/>
  <c r="G42" i="10"/>
  <c r="H42" i="10"/>
  <c r="D43" i="10"/>
  <c r="G43" i="10"/>
  <c r="H43" i="10"/>
  <c r="D44" i="10"/>
  <c r="G44" i="10"/>
  <c r="H44" i="10"/>
  <c r="D45" i="10"/>
  <c r="G45" i="10"/>
  <c r="H45" i="10"/>
  <c r="G46" i="10"/>
  <c r="H46" i="10"/>
  <c r="H41" i="10"/>
  <c r="G41" i="10"/>
  <c r="M192" i="10"/>
  <c r="N71" i="10"/>
  <c r="K9" i="10"/>
  <c r="C145" i="9" a="1"/>
  <c r="C145" i="9" s="1"/>
  <c r="B145" i="9" a="1"/>
  <c r="B145" i="9" s="1"/>
  <c r="I145" i="9" s="1"/>
  <c r="M145" i="9" s="1"/>
  <c r="B134" i="9" a="1"/>
  <c r="B134" i="9" s="1"/>
  <c r="C131" i="9" a="1"/>
  <c r="C131" i="9" s="1"/>
  <c r="B131" i="9" a="1"/>
  <c r="B131" i="9" s="1"/>
  <c r="C123" i="9" a="1"/>
  <c r="C123" i="9" s="1"/>
  <c r="B123" i="9" a="1"/>
  <c r="B123" i="9" s="1"/>
  <c r="C117" i="9" a="1"/>
  <c r="C117" i="9" s="1"/>
  <c r="B117" i="9" a="1"/>
  <c r="B117" i="9" s="1"/>
  <c r="C79" i="9" a="1"/>
  <c r="C79" i="9" s="1"/>
  <c r="B79" i="9" a="1"/>
  <c r="B79" i="9" s="1"/>
  <c r="C85" i="9" a="1"/>
  <c r="C85" i="9" s="1"/>
  <c r="B85" i="9" a="1"/>
  <c r="B85" i="9" s="1"/>
  <c r="C89" i="9" a="1"/>
  <c r="C89" i="9" s="1"/>
  <c r="B89" i="9" a="1"/>
  <c r="B89" i="9" s="1"/>
  <c r="C93" i="9" a="1"/>
  <c r="C93" i="9" s="1"/>
  <c r="B93" i="9" a="1"/>
  <c r="B93" i="9" s="1"/>
  <c r="C112" i="9" a="1"/>
  <c r="C112" i="9" s="1"/>
  <c r="B112" i="9" a="1"/>
  <c r="B112" i="9" s="1"/>
  <c r="I112" i="9" s="1"/>
  <c r="M112" i="9" s="1"/>
  <c r="C106" i="9" a="1"/>
  <c r="C106" i="9" s="1"/>
  <c r="B106" i="9" a="1"/>
  <c r="B106" i="9" s="1"/>
  <c r="C99" i="9" a="1"/>
  <c r="C99" i="9" s="1"/>
  <c r="B99" i="9" a="1"/>
  <c r="B99" i="9" s="1"/>
  <c r="I99" i="9" s="1"/>
  <c r="M99" i="9" s="1"/>
  <c r="F41" i="13"/>
  <c r="F40" i="13"/>
  <c r="F39" i="13"/>
  <c r="C134" i="9" s="1" a="1"/>
  <c r="C134" i="9" s="1"/>
  <c r="B63" i="9"/>
  <c r="B44" i="9"/>
  <c r="B6" i="21"/>
  <c r="B3" i="21" s="1"/>
  <c r="F1" i="9" s="1"/>
  <c r="C15" i="9"/>
  <c r="B198" i="10" s="1"/>
  <c r="C47" i="3"/>
  <c r="B10" i="10"/>
  <c r="E177" i="10"/>
  <c r="E176" i="10"/>
  <c r="E120" i="10"/>
  <c r="H119" i="10"/>
  <c r="E119" i="10"/>
  <c r="H104" i="10"/>
  <c r="E84" i="10"/>
  <c r="H82" i="10"/>
  <c r="E71" i="10"/>
  <c r="H69" i="10"/>
  <c r="H55" i="10"/>
  <c r="E55" i="10"/>
  <c r="H54" i="10"/>
  <c r="H38" i="10"/>
  <c r="C19" i="3"/>
  <c r="A10" i="3"/>
  <c r="B47" i="9" l="1"/>
  <c r="M47" i="9" s="1"/>
  <c r="M55" i="9"/>
  <c r="M52" i="9"/>
  <c r="M48" i="9"/>
  <c r="M56" i="9"/>
  <c r="M49" i="9"/>
  <c r="M57" i="9"/>
  <c r="M50" i="9"/>
  <c r="M51" i="9"/>
  <c r="M54" i="9"/>
  <c r="M53" i="9"/>
  <c r="B66" i="9"/>
  <c r="M66" i="9" s="1"/>
  <c r="M71" i="9"/>
  <c r="M67" i="9"/>
  <c r="M70" i="9"/>
  <c r="M68" i="9"/>
  <c r="M69" i="9"/>
  <c r="B185" i="9"/>
  <c r="C185" i="9" s="1"/>
  <c r="B177" i="9"/>
  <c r="C177" i="9" s="1"/>
  <c r="C204" i="9"/>
  <c r="C180" i="9"/>
  <c r="B241" i="9"/>
  <c r="C241" i="9" s="1"/>
  <c r="C212" i="9"/>
  <c r="C163" i="9"/>
  <c r="C164" i="9"/>
  <c r="C179" i="9"/>
  <c r="C238" i="9"/>
  <c r="C206" i="9"/>
  <c r="C231" i="9"/>
  <c r="C215" i="9"/>
  <c r="C237" i="9"/>
  <c r="C221" i="9"/>
  <c r="C205" i="9"/>
  <c r="C173" i="9"/>
  <c r="C236" i="9"/>
  <c r="C229" i="9"/>
  <c r="C172" i="9"/>
  <c r="C219" i="9"/>
  <c r="C211" i="9"/>
  <c r="C203" i="9"/>
  <c r="C155" i="9"/>
  <c r="C228" i="9"/>
  <c r="C220" i="9"/>
  <c r="C188" i="9"/>
  <c r="C193" i="9"/>
  <c r="C239" i="9"/>
  <c r="C207" i="9"/>
  <c r="C234" i="9"/>
  <c r="C226" i="9"/>
  <c r="C218" i="9"/>
  <c r="C210" i="9"/>
  <c r="C202" i="9"/>
  <c r="C194" i="9"/>
  <c r="C161" i="9"/>
  <c r="C224" i="9"/>
  <c r="C216" i="9"/>
  <c r="C208" i="9"/>
  <c r="C192" i="9"/>
  <c r="C152" i="9"/>
  <c r="C209" i="9"/>
  <c r="C217" i="9"/>
  <c r="B233" i="9"/>
  <c r="B201" i="9"/>
  <c r="B169" i="9"/>
  <c r="B196" i="9"/>
  <c r="B225" i="9"/>
  <c r="B243" i="9"/>
  <c r="B235" i="9"/>
  <c r="B227" i="9"/>
  <c r="B195" i="9"/>
  <c r="B187" i="9"/>
  <c r="B171" i="9"/>
  <c r="B242" i="9"/>
  <c r="B186" i="9"/>
  <c r="B178" i="9"/>
  <c r="B170" i="9"/>
  <c r="B240" i="9"/>
  <c r="B232" i="9"/>
  <c r="B200" i="9"/>
  <c r="B168" i="9"/>
  <c r="B176" i="9"/>
  <c r="B223" i="9"/>
  <c r="B199" i="9"/>
  <c r="B191" i="9"/>
  <c r="B183" i="9"/>
  <c r="B167" i="9"/>
  <c r="B162" i="9"/>
  <c r="B230" i="9"/>
  <c r="B222" i="9"/>
  <c r="B214" i="9"/>
  <c r="B198" i="9"/>
  <c r="B190" i="9"/>
  <c r="B182" i="9"/>
  <c r="B174" i="9"/>
  <c r="B166" i="9"/>
  <c r="B184" i="9"/>
  <c r="B175" i="9"/>
  <c r="B213" i="9"/>
  <c r="B197" i="9"/>
  <c r="B189" i="9"/>
  <c r="B181" i="9"/>
  <c r="B165" i="9"/>
  <c r="B156" i="9"/>
  <c r="B154" i="9"/>
  <c r="B158" i="9"/>
  <c r="B157" i="9"/>
  <c r="E80" i="11"/>
  <c r="B153" i="9"/>
  <c r="B160" i="9"/>
  <c r="B159" i="9"/>
  <c r="B151" i="9"/>
  <c r="E123" i="11"/>
  <c r="E139" i="11"/>
  <c r="E147" i="11"/>
  <c r="E156" i="11"/>
  <c r="E124" i="11"/>
  <c r="E131" i="11"/>
  <c r="E153" i="11"/>
  <c r="E138" i="11"/>
  <c r="E111" i="11"/>
  <c r="E71" i="11"/>
  <c r="E112" i="11"/>
  <c r="E157" i="11"/>
  <c r="E125" i="11"/>
  <c r="E155" i="11"/>
  <c r="E126" i="11"/>
  <c r="E136" i="11"/>
  <c r="E148" i="11"/>
  <c r="E121" i="11"/>
  <c r="E137" i="11"/>
  <c r="E107" i="11"/>
  <c r="E99" i="11"/>
  <c r="E82" i="11"/>
  <c r="E113" i="11"/>
  <c r="E98" i="11"/>
  <c r="E91" i="11"/>
  <c r="E92" i="11"/>
  <c r="E122" i="11"/>
  <c r="E83" i="11"/>
  <c r="E74" i="11"/>
  <c r="E140" i="11"/>
  <c r="E143" i="11"/>
  <c r="E134" i="11"/>
  <c r="E145" i="11"/>
  <c r="E158" i="11"/>
  <c r="E150" i="11"/>
  <c r="E135" i="11"/>
  <c r="E127" i="11"/>
  <c r="E130" i="11"/>
  <c r="E129" i="11"/>
  <c r="E128" i="11"/>
  <c r="I138" i="9"/>
  <c r="M138" i="9" s="1"/>
  <c r="I82" i="9"/>
  <c r="M82" i="9" s="1"/>
  <c r="I114" i="9"/>
  <c r="M114" i="9" s="1"/>
  <c r="A9" i="3"/>
  <c r="I135" i="9"/>
  <c r="M135" i="9" s="1"/>
  <c r="I136" i="9"/>
  <c r="M136" i="9" s="1"/>
  <c r="I137" i="9"/>
  <c r="M137" i="9" s="1"/>
  <c r="I127" i="9"/>
  <c r="M127" i="9" s="1"/>
  <c r="I128" i="9"/>
  <c r="M128" i="9" s="1"/>
  <c r="I126" i="9"/>
  <c r="M126" i="9" s="1"/>
  <c r="I125" i="9"/>
  <c r="M125" i="9" s="1"/>
  <c r="I124" i="9"/>
  <c r="M124" i="9" s="1"/>
  <c r="I123" i="9"/>
  <c r="M123" i="9" s="1"/>
  <c r="I86" i="9"/>
  <c r="M86" i="9" s="1"/>
  <c r="I85" i="9"/>
  <c r="M85" i="9" s="1"/>
  <c r="I90" i="9"/>
  <c r="M90" i="9" s="1"/>
  <c r="I89" i="9"/>
  <c r="M89" i="9" s="1"/>
  <c r="I113" i="9"/>
  <c r="M113" i="9" s="1"/>
  <c r="I109" i="9"/>
  <c r="M109" i="9" s="1"/>
  <c r="I108" i="9"/>
  <c r="M108" i="9" s="1"/>
  <c r="I107" i="9"/>
  <c r="M107" i="9" s="1"/>
  <c r="I106" i="9"/>
  <c r="M106" i="9" s="1"/>
  <c r="I131" i="9"/>
  <c r="M131" i="9" s="1"/>
  <c r="I118" i="9"/>
  <c r="M118" i="9" s="1"/>
  <c r="I119" i="9"/>
  <c r="M119" i="9" s="1"/>
  <c r="I120" i="9"/>
  <c r="M120" i="9" s="1"/>
  <c r="I117" i="9"/>
  <c r="M117" i="9" s="1"/>
  <c r="I80" i="9"/>
  <c r="M80" i="9" s="1"/>
  <c r="I81" i="9"/>
  <c r="M81" i="9" s="1"/>
  <c r="I79" i="9"/>
  <c r="M79" i="9" s="1"/>
  <c r="I94" i="9"/>
  <c r="M94" i="9" s="1"/>
  <c r="I95" i="9"/>
  <c r="M95" i="9" s="1"/>
  <c r="I96" i="9"/>
  <c r="M96" i="9" s="1"/>
  <c r="I93" i="9"/>
  <c r="M93" i="9" s="1"/>
  <c r="I100" i="9"/>
  <c r="M100" i="9" s="1"/>
  <c r="I101" i="9"/>
  <c r="M101" i="9" s="1"/>
  <c r="I102" i="9"/>
  <c r="M102" i="9" s="1"/>
  <c r="I103" i="9"/>
  <c r="M103" i="9" s="1"/>
  <c r="P95" i="7"/>
  <c r="B97" i="7"/>
  <c r="C97" i="7"/>
  <c r="D97" i="7"/>
  <c r="E97" i="7"/>
  <c r="F97" i="7"/>
  <c r="G97" i="7"/>
  <c r="H97" i="7"/>
  <c r="I97" i="7"/>
  <c r="J97" i="7"/>
  <c r="K97" i="7"/>
  <c r="L97" i="7"/>
  <c r="M97" i="7"/>
  <c r="N97" i="7"/>
  <c r="O97" i="7"/>
  <c r="P97" i="7"/>
  <c r="D42" i="10"/>
  <c r="D108" i="10"/>
  <c r="B81" i="7"/>
  <c r="C81" i="7"/>
  <c r="D81" i="7"/>
  <c r="E81" i="7"/>
  <c r="F81" i="7"/>
  <c r="G81" i="7"/>
  <c r="H81" i="7"/>
  <c r="I81" i="7"/>
  <c r="J81" i="7"/>
  <c r="K81" i="7"/>
  <c r="L81" i="7"/>
  <c r="M81" i="7"/>
  <c r="N81" i="7"/>
  <c r="O81" i="7"/>
  <c r="P81" i="7"/>
  <c r="Q81" i="7"/>
  <c r="D41" i="10"/>
  <c r="K84" i="7"/>
  <c r="B84" i="7"/>
  <c r="C84" i="7"/>
  <c r="D84" i="7"/>
  <c r="E84" i="7"/>
  <c r="F84" i="7"/>
  <c r="G84" i="7"/>
  <c r="H84" i="7"/>
  <c r="I84" i="7"/>
  <c r="J84" i="7"/>
  <c r="L84" i="7"/>
  <c r="M84" i="7"/>
  <c r="N84" i="7"/>
  <c r="O84" i="7"/>
  <c r="P84" i="7"/>
  <c r="Q84" i="7"/>
  <c r="D85" i="10"/>
  <c r="A71" i="7"/>
  <c r="B71" i="7"/>
  <c r="C71" i="7"/>
  <c r="D71" i="7"/>
  <c r="E71" i="7"/>
  <c r="F71" i="7"/>
  <c r="G71" i="7"/>
  <c r="H71" i="7"/>
  <c r="I71" i="7"/>
  <c r="J71" i="7"/>
  <c r="K71" i="7"/>
  <c r="L71" i="7"/>
  <c r="M71" i="7"/>
  <c r="B72" i="7"/>
  <c r="C72" i="7"/>
  <c r="D72" i="7"/>
  <c r="E72" i="7"/>
  <c r="F72" i="7"/>
  <c r="G72" i="7"/>
  <c r="H72" i="7"/>
  <c r="I72" i="7"/>
  <c r="J72" i="7"/>
  <c r="K72" i="7"/>
  <c r="L72" i="7"/>
  <c r="M72" i="7"/>
  <c r="B73" i="7"/>
  <c r="C73" i="7"/>
  <c r="D73" i="7"/>
  <c r="E73" i="7"/>
  <c r="F73" i="7"/>
  <c r="G73" i="7"/>
  <c r="H73" i="7"/>
  <c r="I73" i="7"/>
  <c r="J73" i="7"/>
  <c r="K73" i="7"/>
  <c r="L73" i="7"/>
  <c r="M73" i="7"/>
  <c r="G17" i="3"/>
  <c r="G18" i="3"/>
  <c r="G19" i="3"/>
  <c r="G20" i="3"/>
  <c r="G21" i="3"/>
  <c r="G22" i="3"/>
  <c r="F17" i="3"/>
  <c r="F18" i="3"/>
  <c r="F19" i="3"/>
  <c r="F20" i="3"/>
  <c r="F21" i="3"/>
  <c r="F22" i="3"/>
  <c r="C17" i="3"/>
  <c r="D17" i="3" s="1"/>
  <c r="C18" i="3"/>
  <c r="D18" i="3" s="1"/>
  <c r="D19" i="3"/>
  <c r="C20" i="3"/>
  <c r="D20" i="3" s="1"/>
  <c r="C21" i="3"/>
  <c r="D21" i="3" s="1"/>
  <c r="C22" i="3"/>
  <c r="D22" i="3" s="1"/>
  <c r="G16" i="3"/>
  <c r="F16" i="3"/>
  <c r="C16" i="3"/>
  <c r="B49" i="7"/>
  <c r="C49" i="7"/>
  <c r="D49" i="7"/>
  <c r="E49" i="7"/>
  <c r="F49" i="7"/>
  <c r="G49" i="7"/>
  <c r="H49" i="7"/>
  <c r="I49" i="7"/>
  <c r="J49" i="7"/>
  <c r="K49" i="7"/>
  <c r="L49" i="7"/>
  <c r="M49" i="7"/>
  <c r="P49" i="7"/>
  <c r="B43" i="7"/>
  <c r="C43" i="7"/>
  <c r="D43" i="7"/>
  <c r="E43" i="7"/>
  <c r="F43" i="7"/>
  <c r="G43" i="7"/>
  <c r="H43" i="7"/>
  <c r="I43" i="7"/>
  <c r="J43" i="7"/>
  <c r="K43" i="7"/>
  <c r="L43" i="7"/>
  <c r="M43" i="7"/>
  <c r="P43" i="7"/>
  <c r="B44" i="7"/>
  <c r="C44" i="7"/>
  <c r="D44" i="7"/>
  <c r="E44" i="7"/>
  <c r="F44" i="7"/>
  <c r="G44" i="7"/>
  <c r="H44" i="7"/>
  <c r="I44" i="7"/>
  <c r="J44" i="7"/>
  <c r="K44" i="7"/>
  <c r="L44" i="7"/>
  <c r="M44" i="7"/>
  <c r="P44" i="7"/>
  <c r="B36" i="7"/>
  <c r="C36" i="7"/>
  <c r="D36" i="7"/>
  <c r="E36" i="7"/>
  <c r="F36" i="7"/>
  <c r="G36" i="7"/>
  <c r="H36" i="7"/>
  <c r="I36" i="7"/>
  <c r="J36" i="7"/>
  <c r="K36" i="7"/>
  <c r="L36" i="7"/>
  <c r="M36" i="7"/>
  <c r="P36" i="7"/>
  <c r="B34" i="7"/>
  <c r="C34" i="7"/>
  <c r="D34" i="7"/>
  <c r="E34" i="7"/>
  <c r="F34" i="7"/>
  <c r="G34" i="7"/>
  <c r="H34" i="7"/>
  <c r="I34" i="7"/>
  <c r="J34" i="7"/>
  <c r="K34" i="7"/>
  <c r="L34" i="7"/>
  <c r="M34" i="7"/>
  <c r="N34" i="7"/>
  <c r="O34" i="7"/>
  <c r="P34" i="7"/>
  <c r="B31" i="7"/>
  <c r="C31" i="7"/>
  <c r="D31" i="7"/>
  <c r="E31" i="7"/>
  <c r="F31" i="7"/>
  <c r="G31" i="7"/>
  <c r="H31" i="7"/>
  <c r="I31" i="7"/>
  <c r="J31" i="7"/>
  <c r="K31" i="7"/>
  <c r="L31" i="7"/>
  <c r="M31" i="7"/>
  <c r="N31" i="7"/>
  <c r="O31" i="7"/>
  <c r="D110" i="10"/>
  <c r="A64" i="7"/>
  <c r="B64" i="7"/>
  <c r="C64" i="7"/>
  <c r="D64" i="7"/>
  <c r="E64" i="7"/>
  <c r="F64" i="7"/>
  <c r="G64" i="7"/>
  <c r="H64" i="7"/>
  <c r="I64" i="7"/>
  <c r="J64" i="7"/>
  <c r="K64" i="7"/>
  <c r="L64" i="7"/>
  <c r="M64" i="7"/>
  <c r="N64" i="7"/>
  <c r="O64" i="7"/>
  <c r="P64" i="7"/>
  <c r="Q64" i="7"/>
  <c r="B57" i="7"/>
  <c r="C57" i="7"/>
  <c r="D57" i="7"/>
  <c r="E57" i="7"/>
  <c r="F57" i="7"/>
  <c r="G57" i="7"/>
  <c r="H57" i="7"/>
  <c r="I57" i="7"/>
  <c r="J57" i="7"/>
  <c r="K57" i="7"/>
  <c r="L57" i="7"/>
  <c r="M57" i="7"/>
  <c r="N57" i="7"/>
  <c r="P57" i="7"/>
  <c r="A55" i="7"/>
  <c r="B55" i="7"/>
  <c r="C55" i="7"/>
  <c r="D55" i="7"/>
  <c r="E55" i="7"/>
  <c r="F55" i="7"/>
  <c r="G55" i="7"/>
  <c r="H55" i="7"/>
  <c r="I55" i="7"/>
  <c r="J55" i="7"/>
  <c r="K55" i="7"/>
  <c r="L55" i="7"/>
  <c r="M55" i="7"/>
  <c r="N55" i="7"/>
  <c r="O55" i="7"/>
  <c r="P55" i="7"/>
  <c r="B58" i="7"/>
  <c r="C58" i="7"/>
  <c r="D58" i="7"/>
  <c r="E58" i="7"/>
  <c r="F58" i="7"/>
  <c r="G58" i="7"/>
  <c r="H58" i="7"/>
  <c r="I58" i="7"/>
  <c r="J58" i="7"/>
  <c r="K58" i="7"/>
  <c r="L58" i="7"/>
  <c r="M58" i="7"/>
  <c r="N58" i="7"/>
  <c r="P58" i="7"/>
  <c r="B99" i="7"/>
  <c r="C99" i="7"/>
  <c r="D99" i="7"/>
  <c r="E99" i="7"/>
  <c r="F99" i="7"/>
  <c r="G99" i="7"/>
  <c r="H99" i="7"/>
  <c r="I99" i="7"/>
  <c r="J99" i="7"/>
  <c r="K99" i="7"/>
  <c r="L99" i="7"/>
  <c r="M99" i="7"/>
  <c r="N99" i="7"/>
  <c r="O99" i="7"/>
  <c r="P99" i="7"/>
  <c r="Q99" i="7"/>
  <c r="B101" i="7"/>
  <c r="C101" i="7"/>
  <c r="D101" i="7"/>
  <c r="E101" i="7"/>
  <c r="F101" i="7"/>
  <c r="G101" i="7"/>
  <c r="H101" i="7"/>
  <c r="I101" i="7"/>
  <c r="J101" i="7"/>
  <c r="K101" i="7"/>
  <c r="L101" i="7"/>
  <c r="M101" i="7"/>
  <c r="N101" i="7"/>
  <c r="O101" i="7"/>
  <c r="P101" i="7"/>
  <c r="Q101" i="7"/>
  <c r="B82" i="7"/>
  <c r="C82" i="7"/>
  <c r="D82" i="7"/>
  <c r="E82" i="7"/>
  <c r="F82" i="7"/>
  <c r="G82" i="7"/>
  <c r="H82" i="7"/>
  <c r="I82" i="7"/>
  <c r="J82" i="7"/>
  <c r="K82" i="7"/>
  <c r="L82" i="7"/>
  <c r="M82" i="7"/>
  <c r="N82" i="7"/>
  <c r="O82" i="7"/>
  <c r="P82" i="7"/>
  <c r="Q82" i="7"/>
  <c r="B41" i="7"/>
  <c r="C41" i="7"/>
  <c r="D41" i="7"/>
  <c r="E41" i="7"/>
  <c r="F41" i="7"/>
  <c r="G41" i="7"/>
  <c r="H41" i="7"/>
  <c r="I41" i="7"/>
  <c r="J41" i="7"/>
  <c r="K41" i="7"/>
  <c r="L41" i="7"/>
  <c r="M41" i="7"/>
  <c r="P41" i="7"/>
  <c r="D142" i="11" l="1"/>
  <c r="D71" i="11"/>
  <c r="D155" i="11"/>
  <c r="D129" i="11"/>
  <c r="D139" i="11"/>
  <c r="D97" i="11"/>
  <c r="D84" i="11"/>
  <c r="D82" i="11"/>
  <c r="D117" i="11"/>
  <c r="D76" i="11"/>
  <c r="D83" i="11"/>
  <c r="D160" i="11"/>
  <c r="D74" i="11"/>
  <c r="D100" i="11"/>
  <c r="D81" i="11"/>
  <c r="D96" i="11"/>
  <c r="D126" i="11"/>
  <c r="D122" i="11"/>
  <c r="D113" i="11"/>
  <c r="D93" i="11"/>
  <c r="D101" i="11"/>
  <c r="D70" i="11"/>
  <c r="D147" i="11"/>
  <c r="D159" i="11"/>
  <c r="D72" i="11"/>
  <c r="D138" i="11"/>
  <c r="D88" i="11"/>
  <c r="D94" i="11"/>
  <c r="D86" i="11"/>
  <c r="D99" i="11"/>
  <c r="D121" i="11"/>
  <c r="D89" i="11"/>
  <c r="D116" i="11"/>
  <c r="D148" i="11"/>
  <c r="D130" i="11"/>
  <c r="D103" i="11"/>
  <c r="D144" i="11"/>
  <c r="D156" i="11"/>
  <c r="D92" i="11"/>
  <c r="D128" i="11"/>
  <c r="D85" i="11"/>
  <c r="D98" i="11"/>
  <c r="D131" i="11"/>
  <c r="D149" i="11"/>
  <c r="D151" i="11"/>
  <c r="D127" i="11"/>
  <c r="D95" i="11"/>
  <c r="D123" i="11"/>
  <c r="D140" i="11"/>
  <c r="D132" i="11"/>
  <c r="D87" i="11"/>
  <c r="D158" i="11"/>
  <c r="C187" i="10"/>
  <c r="C167" i="10"/>
  <c r="C115" i="10"/>
  <c r="E115" i="10" s="1"/>
  <c r="C98" i="10"/>
  <c r="E98" i="10" s="1"/>
  <c r="C65" i="10"/>
  <c r="E65" i="10" s="1"/>
  <c r="C28" i="10"/>
  <c r="E28" i="10" s="1"/>
  <c r="C67" i="10"/>
  <c r="C68" i="10"/>
  <c r="E68" i="10" s="1"/>
  <c r="C163" i="10"/>
  <c r="C171" i="10"/>
  <c r="C102" i="10"/>
  <c r="E102" i="10" s="1"/>
  <c r="C166" i="10"/>
  <c r="C81" i="10"/>
  <c r="E81" i="10" s="1"/>
  <c r="C53" i="10"/>
  <c r="E53" i="10" s="1"/>
  <c r="C180" i="10"/>
  <c r="C188" i="10"/>
  <c r="C168" i="10"/>
  <c r="C116" i="10"/>
  <c r="E116" i="10" s="1"/>
  <c r="C99" i="10"/>
  <c r="E99" i="10" s="1"/>
  <c r="C66" i="10"/>
  <c r="E66" i="10" s="1"/>
  <c r="C29" i="10"/>
  <c r="E29" i="10" s="1"/>
  <c r="C181" i="10"/>
  <c r="C178" i="10"/>
  <c r="C169" i="10"/>
  <c r="C117" i="10"/>
  <c r="E117" i="10" s="1"/>
  <c r="C100" i="10"/>
  <c r="C48" i="10"/>
  <c r="E48" i="10" s="1"/>
  <c r="C170" i="10"/>
  <c r="C101" i="10"/>
  <c r="E101" i="10" s="1"/>
  <c r="C49" i="10"/>
  <c r="E49" i="10" s="1"/>
  <c r="C78" i="10"/>
  <c r="E78" i="10" s="1"/>
  <c r="C50" i="10"/>
  <c r="C174" i="10"/>
  <c r="C97" i="10"/>
  <c r="E97" i="10" s="1"/>
  <c r="C64" i="10"/>
  <c r="E64" i="10" s="1"/>
  <c r="C182" i="10"/>
  <c r="C183" i="10"/>
  <c r="C184" i="10"/>
  <c r="C164" i="10"/>
  <c r="C172" i="10"/>
  <c r="C103" i="10"/>
  <c r="E103" i="10" s="1"/>
  <c r="C79" i="10"/>
  <c r="E79" i="10" s="1"/>
  <c r="C51" i="10"/>
  <c r="C165" i="10"/>
  <c r="C173" i="10"/>
  <c r="C96" i="10"/>
  <c r="E96" i="10" s="1"/>
  <c r="C80" i="10"/>
  <c r="E80" i="10" s="1"/>
  <c r="C52" i="10"/>
  <c r="E52" i="10" s="1"/>
  <c r="C186" i="10"/>
  <c r="C185" i="10"/>
  <c r="C36" i="10"/>
  <c r="E36" i="10" s="1"/>
  <c r="C37" i="10"/>
  <c r="E37" i="10" s="1"/>
  <c r="C30" i="10"/>
  <c r="C31" i="10"/>
  <c r="E31" i="10" s="1"/>
  <c r="C32" i="10"/>
  <c r="E32" i="10" s="1"/>
  <c r="C33" i="10"/>
  <c r="E33" i="10" s="1"/>
  <c r="C34" i="10"/>
  <c r="E34" i="10" s="1"/>
  <c r="C35" i="10"/>
  <c r="E35" i="10" s="1"/>
  <c r="C197" i="9"/>
  <c r="C198" i="9"/>
  <c r="C199" i="9"/>
  <c r="C178" i="9"/>
  <c r="C243" i="9"/>
  <c r="C233" i="9"/>
  <c r="C157" i="9"/>
  <c r="C213" i="9"/>
  <c r="C214" i="9"/>
  <c r="C223" i="9"/>
  <c r="C186" i="9"/>
  <c r="C225" i="9"/>
  <c r="C158" i="9"/>
  <c r="C175" i="9"/>
  <c r="C222" i="9"/>
  <c r="C176" i="9"/>
  <c r="C242" i="9"/>
  <c r="C154" i="9"/>
  <c r="C184" i="9"/>
  <c r="C230" i="9"/>
  <c r="C168" i="9"/>
  <c r="C171" i="9"/>
  <c r="C151" i="9"/>
  <c r="C156" i="9"/>
  <c r="C166" i="9"/>
  <c r="C162" i="9"/>
  <c r="C200" i="9"/>
  <c r="C187" i="9"/>
  <c r="C196" i="9"/>
  <c r="C159" i="9"/>
  <c r="C165" i="9"/>
  <c r="C174" i="9"/>
  <c r="C167" i="9"/>
  <c r="C232" i="9"/>
  <c r="C195" i="9"/>
  <c r="C160" i="9"/>
  <c r="C181" i="9"/>
  <c r="C182" i="9"/>
  <c r="C183" i="9"/>
  <c r="C240" i="9"/>
  <c r="C227" i="9"/>
  <c r="C169" i="9"/>
  <c r="C153" i="9"/>
  <c r="C189" i="9"/>
  <c r="C190" i="9"/>
  <c r="C191" i="9"/>
  <c r="C170" i="9"/>
  <c r="C235" i="9"/>
  <c r="C201" i="9"/>
  <c r="D119" i="18"/>
  <c r="D167" i="18"/>
  <c r="D105" i="18"/>
  <c r="D70" i="18"/>
  <c r="D145" i="18"/>
  <c r="D166" i="18"/>
  <c r="D121" i="18"/>
  <c r="D83" i="18"/>
  <c r="D172" i="18"/>
  <c r="D123" i="18"/>
  <c r="D168" i="18"/>
  <c r="D99" i="18"/>
  <c r="D64" i="18"/>
  <c r="D136" i="18"/>
  <c r="D163" i="18"/>
  <c r="D102" i="18"/>
  <c r="D66" i="18"/>
  <c r="D142" i="18"/>
  <c r="D162" i="18"/>
  <c r="D118" i="18"/>
  <c r="D80" i="18"/>
  <c r="D169" i="18"/>
  <c r="D165" i="18"/>
  <c r="D120" i="18"/>
  <c r="D164" i="18"/>
  <c r="D96" i="18"/>
  <c r="D60" i="18"/>
  <c r="D129" i="18"/>
  <c r="D195" i="18"/>
  <c r="D160" i="18"/>
  <c r="D98" i="18"/>
  <c r="D63" i="18"/>
  <c r="D138" i="18"/>
  <c r="D194" i="18"/>
  <c r="D159" i="18"/>
  <c r="D114" i="18"/>
  <c r="D76" i="18"/>
  <c r="D141" i="18"/>
  <c r="D197" i="18"/>
  <c r="D158" i="18"/>
  <c r="D113" i="18"/>
  <c r="D196" i="18"/>
  <c r="D157" i="18"/>
  <c r="D92" i="18"/>
  <c r="D126" i="18"/>
  <c r="D192" i="18"/>
  <c r="D156" i="18"/>
  <c r="D95" i="18"/>
  <c r="D59" i="18"/>
  <c r="D135" i="18"/>
  <c r="D191" i="18"/>
  <c r="D155" i="18"/>
  <c r="D111" i="18"/>
  <c r="D69" i="18"/>
  <c r="D124" i="18"/>
  <c r="D190" i="18"/>
  <c r="D110" i="18"/>
  <c r="D189" i="18"/>
  <c r="D150" i="18"/>
  <c r="D85" i="18"/>
  <c r="D122" i="18"/>
  <c r="D188" i="18"/>
  <c r="D149" i="18"/>
  <c r="D91" i="18"/>
  <c r="D125" i="18"/>
  <c r="D187" i="18"/>
  <c r="D152" i="18"/>
  <c r="D101" i="18"/>
  <c r="D62" i="18"/>
  <c r="D107" i="18"/>
  <c r="D186" i="18"/>
  <c r="D106" i="18"/>
  <c r="D182" i="18"/>
  <c r="D146" i="18"/>
  <c r="D78" i="18"/>
  <c r="D154" i="18"/>
  <c r="D151" i="18"/>
  <c r="D147" i="18"/>
  <c r="D144" i="18"/>
  <c r="D137" i="18"/>
  <c r="D134" i="18"/>
  <c r="D130" i="18"/>
  <c r="D127" i="18"/>
  <c r="D117" i="18"/>
  <c r="D100" i="18"/>
  <c r="D93" i="18"/>
  <c r="D86" i="18"/>
  <c r="D82" i="18"/>
  <c r="D79" i="18"/>
  <c r="D75" i="18"/>
  <c r="D72" i="18"/>
  <c r="D68" i="18"/>
  <c r="D61" i="18"/>
  <c r="D181" i="18"/>
  <c r="D132" i="18"/>
  <c r="D88" i="18"/>
  <c r="D108" i="18"/>
  <c r="D184" i="18"/>
  <c r="D148" i="18"/>
  <c r="D94" i="18"/>
  <c r="D58" i="18"/>
  <c r="D104" i="18"/>
  <c r="D183" i="18"/>
  <c r="D193" i="18"/>
  <c r="D103" i="18"/>
  <c r="D178" i="18"/>
  <c r="D143" i="18"/>
  <c r="D74" i="18"/>
  <c r="D185" i="18"/>
  <c r="D109" i="18"/>
  <c r="D174" i="18"/>
  <c r="D115" i="18"/>
  <c r="D84" i="18"/>
  <c r="D73" i="18"/>
  <c r="D180" i="18"/>
  <c r="D131" i="18"/>
  <c r="D90" i="18"/>
  <c r="D97" i="18"/>
  <c r="D179" i="18"/>
  <c r="D161" i="18"/>
  <c r="D89" i="18"/>
  <c r="D175" i="18"/>
  <c r="D133" i="18"/>
  <c r="D71" i="18"/>
  <c r="D153" i="18"/>
  <c r="D81" i="18"/>
  <c r="D170" i="18"/>
  <c r="D112" i="18"/>
  <c r="D77" i="18"/>
  <c r="D177" i="18"/>
  <c r="D173" i="18"/>
  <c r="D128" i="18"/>
  <c r="D87" i="18"/>
  <c r="D65" i="18"/>
  <c r="D176" i="18"/>
  <c r="D140" i="18"/>
  <c r="D57" i="18"/>
  <c r="D171" i="18"/>
  <c r="D116" i="18"/>
  <c r="D67" i="18"/>
  <c r="D139" i="18"/>
  <c r="C56" i="10"/>
  <c r="E56" i="10" s="1"/>
  <c r="F131" i="9"/>
  <c r="A11" i="3"/>
  <c r="F134" i="9"/>
  <c r="F123" i="9"/>
  <c r="F85" i="9"/>
  <c r="F79" i="9"/>
  <c r="F93" i="9"/>
  <c r="F117" i="9"/>
  <c r="K117" i="9" s="1"/>
  <c r="F89" i="9"/>
  <c r="F112" i="9"/>
  <c r="F106" i="9"/>
  <c r="F99" i="9"/>
  <c r="B59" i="7"/>
  <c r="C59" i="7"/>
  <c r="D59" i="7"/>
  <c r="E59" i="7"/>
  <c r="F59" i="7"/>
  <c r="G59" i="7"/>
  <c r="H59" i="7"/>
  <c r="I59" i="7"/>
  <c r="J59" i="7"/>
  <c r="K59" i="7"/>
  <c r="L59" i="7"/>
  <c r="M59" i="7"/>
  <c r="N59" i="7"/>
  <c r="P59" i="7"/>
  <c r="K103" i="7"/>
  <c r="A85" i="7"/>
  <c r="B85" i="7"/>
  <c r="C85" i="7"/>
  <c r="D85" i="7"/>
  <c r="E85" i="7"/>
  <c r="F85" i="7"/>
  <c r="G85" i="7"/>
  <c r="H85" i="7"/>
  <c r="I85" i="7"/>
  <c r="J85" i="7"/>
  <c r="K85" i="7"/>
  <c r="L85" i="7"/>
  <c r="M85" i="7"/>
  <c r="N85" i="7"/>
  <c r="O85" i="7"/>
  <c r="P85" i="7"/>
  <c r="Q85" i="7"/>
  <c r="H86" i="7"/>
  <c r="G86" i="7"/>
  <c r="I86" i="7"/>
  <c r="J86" i="7"/>
  <c r="F86" i="7"/>
  <c r="A83" i="7"/>
  <c r="B83" i="7"/>
  <c r="C83" i="7"/>
  <c r="D83" i="7"/>
  <c r="E83" i="7"/>
  <c r="F83" i="7"/>
  <c r="G83" i="7"/>
  <c r="H83" i="7"/>
  <c r="I83" i="7"/>
  <c r="J83" i="7"/>
  <c r="K83" i="7"/>
  <c r="L83" i="7"/>
  <c r="M83" i="7"/>
  <c r="N83" i="7"/>
  <c r="O83" i="7"/>
  <c r="P83" i="7"/>
  <c r="Q83" i="7"/>
  <c r="A100" i="7"/>
  <c r="B100" i="7"/>
  <c r="C100" i="7"/>
  <c r="D100" i="7"/>
  <c r="E100" i="7"/>
  <c r="F100" i="7"/>
  <c r="G100" i="7"/>
  <c r="H100" i="7"/>
  <c r="I100" i="7"/>
  <c r="J100" i="7"/>
  <c r="K100" i="7"/>
  <c r="L100" i="7"/>
  <c r="M100" i="7"/>
  <c r="N100" i="7"/>
  <c r="O100" i="7"/>
  <c r="P100" i="7"/>
  <c r="Q100" i="7"/>
  <c r="B96" i="7"/>
  <c r="C96" i="7"/>
  <c r="D96" i="7"/>
  <c r="E96" i="7"/>
  <c r="F96" i="7"/>
  <c r="G96" i="7"/>
  <c r="H96" i="7"/>
  <c r="I96" i="7"/>
  <c r="J96" i="7"/>
  <c r="K96" i="7"/>
  <c r="L96" i="7"/>
  <c r="M96" i="7"/>
  <c r="N96" i="7"/>
  <c r="O96" i="7"/>
  <c r="P96" i="7"/>
  <c r="B89" i="3"/>
  <c r="B83" i="3"/>
  <c r="B54" i="3"/>
  <c r="B44" i="3"/>
  <c r="B36" i="3"/>
  <c r="B29" i="3"/>
  <c r="B23" i="3"/>
  <c r="B61" i="7"/>
  <c r="C61" i="7"/>
  <c r="D61" i="7"/>
  <c r="E61" i="7"/>
  <c r="F61" i="7"/>
  <c r="G61" i="7"/>
  <c r="H61" i="7"/>
  <c r="I61" i="7"/>
  <c r="J61" i="7"/>
  <c r="K61" i="7"/>
  <c r="L61" i="7"/>
  <c r="M61" i="7"/>
  <c r="N61" i="7"/>
  <c r="O61" i="7"/>
  <c r="P61" i="7"/>
  <c r="Q61" i="7"/>
  <c r="P42" i="7"/>
  <c r="B42" i="7"/>
  <c r="C42" i="7"/>
  <c r="D42" i="7"/>
  <c r="E42" i="7"/>
  <c r="F42" i="7"/>
  <c r="G42" i="7"/>
  <c r="H42" i="7"/>
  <c r="I42" i="7"/>
  <c r="J42" i="7"/>
  <c r="K42" i="7"/>
  <c r="L42" i="7"/>
  <c r="M42" i="7"/>
  <c r="P56" i="7"/>
  <c r="C56" i="7"/>
  <c r="D56" i="7"/>
  <c r="E56" i="7"/>
  <c r="F56" i="7"/>
  <c r="G56" i="7"/>
  <c r="H56" i="7"/>
  <c r="I56" i="7"/>
  <c r="J56" i="7"/>
  <c r="K56" i="7"/>
  <c r="L56" i="7"/>
  <c r="M56" i="7"/>
  <c r="N56" i="7"/>
  <c r="B56" i="7"/>
  <c r="B60" i="7"/>
  <c r="C60" i="7"/>
  <c r="D60" i="7"/>
  <c r="E60" i="7"/>
  <c r="F60" i="7"/>
  <c r="G60" i="7"/>
  <c r="H60" i="7"/>
  <c r="I60" i="7"/>
  <c r="J60" i="7"/>
  <c r="K60" i="7"/>
  <c r="L60" i="7"/>
  <c r="M60" i="7"/>
  <c r="N60" i="7"/>
  <c r="O60" i="7"/>
  <c r="P60" i="7"/>
  <c r="Q60" i="7"/>
  <c r="G46" i="7"/>
  <c r="H46" i="7"/>
  <c r="E77" i="7"/>
  <c r="D77" i="7"/>
  <c r="A76" i="7"/>
  <c r="B76" i="7"/>
  <c r="C76" i="7"/>
  <c r="D76" i="7"/>
  <c r="E76" i="7"/>
  <c r="F76" i="7"/>
  <c r="G76" i="7"/>
  <c r="H76" i="7"/>
  <c r="I76" i="7"/>
  <c r="J76" i="7"/>
  <c r="K76" i="7"/>
  <c r="L76" i="7"/>
  <c r="M76" i="7"/>
  <c r="N76" i="7"/>
  <c r="O76" i="7"/>
  <c r="P76" i="7"/>
  <c r="Q76" i="7"/>
  <c r="K46" i="7"/>
  <c r="D66" i="7"/>
  <c r="J3" i="8"/>
  <c r="K3" i="8"/>
  <c r="L3" i="8"/>
  <c r="F19" i="7" s="1"/>
  <c r="M3" i="8"/>
  <c r="G19" i="7" s="1"/>
  <c r="N3" i="8"/>
  <c r="H19" i="7" s="1"/>
  <c r="O3" i="8"/>
  <c r="P3" i="8"/>
  <c r="J4" i="8"/>
  <c r="K4" i="8"/>
  <c r="E20" i="7" s="1"/>
  <c r="L4" i="8"/>
  <c r="F20" i="7" s="1"/>
  <c r="M4" i="8"/>
  <c r="G20" i="7" s="1"/>
  <c r="N4" i="8"/>
  <c r="H20" i="7" s="1"/>
  <c r="O4" i="8"/>
  <c r="I20" i="7" s="1"/>
  <c r="P4" i="8"/>
  <c r="J20" i="7" s="1"/>
  <c r="A7" i="7"/>
  <c r="C7" i="7"/>
  <c r="D7" i="7"/>
  <c r="E7" i="7"/>
  <c r="F7" i="7"/>
  <c r="G7" i="7"/>
  <c r="H7" i="7"/>
  <c r="I7" i="7"/>
  <c r="J7" i="7"/>
  <c r="K7" i="7"/>
  <c r="L7" i="7"/>
  <c r="M7" i="7"/>
  <c r="N7" i="7"/>
  <c r="O7" i="7"/>
  <c r="P7" i="7"/>
  <c r="Q7" i="7"/>
  <c r="A8" i="7"/>
  <c r="B8" i="7"/>
  <c r="C8" i="7"/>
  <c r="D8" i="7"/>
  <c r="E8" i="7"/>
  <c r="F8" i="7"/>
  <c r="G8" i="7"/>
  <c r="H8" i="7"/>
  <c r="I8" i="7"/>
  <c r="J8" i="7"/>
  <c r="K8" i="7"/>
  <c r="L8" i="7"/>
  <c r="M8" i="7"/>
  <c r="N8" i="7"/>
  <c r="O8" i="7"/>
  <c r="P8" i="7"/>
  <c r="Q8" i="7"/>
  <c r="A9" i="7"/>
  <c r="B9" i="7"/>
  <c r="C9" i="7"/>
  <c r="D9" i="7"/>
  <c r="E9" i="7"/>
  <c r="F9" i="7"/>
  <c r="G9" i="7"/>
  <c r="H9" i="7"/>
  <c r="I9" i="7"/>
  <c r="J9" i="7"/>
  <c r="K9" i="7"/>
  <c r="L9" i="7"/>
  <c r="M9" i="7"/>
  <c r="N9" i="7"/>
  <c r="O9" i="7"/>
  <c r="P9" i="7"/>
  <c r="Q9" i="7"/>
  <c r="A10" i="7"/>
  <c r="B10" i="7"/>
  <c r="C10" i="7"/>
  <c r="D10" i="7"/>
  <c r="E10" i="7"/>
  <c r="F10" i="7"/>
  <c r="G10" i="7"/>
  <c r="H10" i="7"/>
  <c r="I10" i="7"/>
  <c r="J10" i="7"/>
  <c r="K10" i="7"/>
  <c r="L10" i="7"/>
  <c r="M10" i="7"/>
  <c r="N10" i="7"/>
  <c r="O10" i="7"/>
  <c r="P10" i="7"/>
  <c r="Q10" i="7"/>
  <c r="A11" i="7"/>
  <c r="B11" i="7"/>
  <c r="C11" i="7"/>
  <c r="D11" i="7"/>
  <c r="E11" i="7"/>
  <c r="F11" i="7"/>
  <c r="G11" i="7"/>
  <c r="H11" i="7"/>
  <c r="I11" i="7"/>
  <c r="J11" i="7"/>
  <c r="K11" i="7"/>
  <c r="L11" i="7"/>
  <c r="M11" i="7"/>
  <c r="N11" i="7"/>
  <c r="O11" i="7"/>
  <c r="P11" i="7"/>
  <c r="Q11" i="7"/>
  <c r="A12" i="7"/>
  <c r="B12" i="7"/>
  <c r="C12" i="7"/>
  <c r="D12" i="7"/>
  <c r="E12" i="7"/>
  <c r="F12" i="7"/>
  <c r="G12" i="7"/>
  <c r="H12" i="7"/>
  <c r="I12" i="7"/>
  <c r="J12" i="7"/>
  <c r="K12" i="7"/>
  <c r="L12" i="7"/>
  <c r="M12" i="7"/>
  <c r="N12" i="7"/>
  <c r="O12" i="7"/>
  <c r="P12" i="7"/>
  <c r="Q12" i="7"/>
  <c r="A13" i="7"/>
  <c r="B13" i="7"/>
  <c r="C13" i="7"/>
  <c r="D13" i="7"/>
  <c r="E13" i="7"/>
  <c r="F13" i="7"/>
  <c r="G13" i="7"/>
  <c r="H13" i="7"/>
  <c r="I13" i="7"/>
  <c r="J13" i="7"/>
  <c r="K13" i="7"/>
  <c r="L13" i="7"/>
  <c r="M13" i="7"/>
  <c r="N13" i="7"/>
  <c r="O13" i="7"/>
  <c r="P13" i="7"/>
  <c r="Q13" i="7"/>
  <c r="A14" i="7"/>
  <c r="B14" i="7"/>
  <c r="C14" i="7"/>
  <c r="D14" i="7"/>
  <c r="E14" i="7"/>
  <c r="F14" i="7"/>
  <c r="G14" i="7"/>
  <c r="H14" i="7"/>
  <c r="I14" i="7"/>
  <c r="J14" i="7"/>
  <c r="K14" i="7"/>
  <c r="L14" i="7"/>
  <c r="M14" i="7"/>
  <c r="N14" i="7"/>
  <c r="O14" i="7"/>
  <c r="P14" i="7"/>
  <c r="Q14" i="7"/>
  <c r="A15" i="7"/>
  <c r="B15" i="7"/>
  <c r="C15" i="7"/>
  <c r="D15" i="7"/>
  <c r="E15" i="7"/>
  <c r="F15" i="7"/>
  <c r="G15" i="7"/>
  <c r="H15" i="7"/>
  <c r="I15" i="7"/>
  <c r="J15" i="7"/>
  <c r="K15" i="7"/>
  <c r="L15" i="7"/>
  <c r="M15" i="7"/>
  <c r="N15" i="7"/>
  <c r="O15" i="7"/>
  <c r="P15" i="7"/>
  <c r="Q15" i="7"/>
  <c r="A16" i="7"/>
  <c r="B16" i="7"/>
  <c r="C16" i="7"/>
  <c r="L16" i="7"/>
  <c r="M16" i="7"/>
  <c r="N16" i="7"/>
  <c r="O16" i="7"/>
  <c r="P16" i="7"/>
  <c r="Q16" i="7"/>
  <c r="A17" i="7"/>
  <c r="B17" i="7"/>
  <c r="C17" i="7"/>
  <c r="D17" i="7"/>
  <c r="E17" i="7"/>
  <c r="F17" i="7"/>
  <c r="G17" i="7"/>
  <c r="H17" i="7"/>
  <c r="I17" i="7"/>
  <c r="J17" i="7"/>
  <c r="K17" i="7"/>
  <c r="L17" i="7"/>
  <c r="M17" i="7"/>
  <c r="N17" i="7"/>
  <c r="O17" i="7"/>
  <c r="P17" i="7"/>
  <c r="Q17" i="7"/>
  <c r="A18" i="7"/>
  <c r="B18" i="7"/>
  <c r="C18" i="7"/>
  <c r="D18" i="7"/>
  <c r="E18" i="7"/>
  <c r="F18" i="7"/>
  <c r="G18" i="7"/>
  <c r="H18" i="7"/>
  <c r="I18" i="7"/>
  <c r="J18" i="7"/>
  <c r="K18" i="7"/>
  <c r="L18" i="7"/>
  <c r="M18" i="7"/>
  <c r="N18" i="7"/>
  <c r="O18" i="7"/>
  <c r="P18" i="7"/>
  <c r="Q18" i="7"/>
  <c r="A19" i="7"/>
  <c r="B19" i="7"/>
  <c r="C19" i="7"/>
  <c r="K19" i="7"/>
  <c r="L19" i="7"/>
  <c r="M19" i="7"/>
  <c r="N19" i="7"/>
  <c r="O19" i="7"/>
  <c r="P19" i="7"/>
  <c r="Q19" i="7"/>
  <c r="A20" i="7"/>
  <c r="B20" i="7"/>
  <c r="C20" i="7"/>
  <c r="K20" i="7"/>
  <c r="L20" i="7"/>
  <c r="M20" i="7"/>
  <c r="N20" i="7"/>
  <c r="O20" i="7"/>
  <c r="P20" i="7"/>
  <c r="Q20" i="7"/>
  <c r="A21" i="7"/>
  <c r="B21" i="7"/>
  <c r="C21" i="7"/>
  <c r="K21" i="7"/>
  <c r="L21" i="7"/>
  <c r="M21" i="7"/>
  <c r="N21" i="7"/>
  <c r="O21" i="7"/>
  <c r="P21" i="7"/>
  <c r="Q21" i="7"/>
  <c r="A22" i="7"/>
  <c r="B22" i="7"/>
  <c r="C22" i="7"/>
  <c r="D22" i="7"/>
  <c r="E22" i="7"/>
  <c r="F22" i="7"/>
  <c r="G22" i="7"/>
  <c r="H22" i="7"/>
  <c r="I22" i="7"/>
  <c r="J22" i="7"/>
  <c r="K22" i="7"/>
  <c r="L22" i="7"/>
  <c r="M22" i="7"/>
  <c r="N22" i="7"/>
  <c r="O22" i="7"/>
  <c r="P22" i="7"/>
  <c r="Q22" i="7"/>
  <c r="A23" i="7"/>
  <c r="B23" i="7"/>
  <c r="C23" i="7"/>
  <c r="D23" i="7"/>
  <c r="E23" i="7"/>
  <c r="F23" i="7"/>
  <c r="G23" i="7"/>
  <c r="H23" i="7"/>
  <c r="I23" i="7"/>
  <c r="J23" i="7"/>
  <c r="K23" i="7"/>
  <c r="L23" i="7"/>
  <c r="M23" i="7"/>
  <c r="N23" i="7"/>
  <c r="O23" i="7"/>
  <c r="P23" i="7"/>
  <c r="Q23" i="7"/>
  <c r="A24" i="7"/>
  <c r="B24" i="7"/>
  <c r="C24" i="7"/>
  <c r="D24" i="7"/>
  <c r="E24" i="7"/>
  <c r="F24" i="7"/>
  <c r="G24" i="7"/>
  <c r="H24" i="7"/>
  <c r="I24" i="7"/>
  <c r="J24" i="7"/>
  <c r="K24" i="7"/>
  <c r="L24" i="7"/>
  <c r="M24" i="7"/>
  <c r="N24" i="7"/>
  <c r="O24" i="7"/>
  <c r="P24" i="7"/>
  <c r="Q24" i="7"/>
  <c r="A25" i="7"/>
  <c r="B25" i="7"/>
  <c r="C25" i="7"/>
  <c r="D25" i="7"/>
  <c r="E25" i="7"/>
  <c r="F25" i="7"/>
  <c r="G25" i="7"/>
  <c r="H25" i="7"/>
  <c r="I25" i="7"/>
  <c r="J25" i="7"/>
  <c r="K25" i="7"/>
  <c r="L25" i="7"/>
  <c r="M25" i="7"/>
  <c r="N25" i="7"/>
  <c r="O25" i="7"/>
  <c r="P25" i="7"/>
  <c r="Q25" i="7"/>
  <c r="A26" i="7"/>
  <c r="B26" i="7"/>
  <c r="C26" i="7"/>
  <c r="D26" i="7"/>
  <c r="E26" i="7"/>
  <c r="F26" i="7"/>
  <c r="G26" i="7"/>
  <c r="H26" i="7"/>
  <c r="I26" i="7"/>
  <c r="J26" i="7"/>
  <c r="K26" i="7"/>
  <c r="L26" i="7"/>
  <c r="M26" i="7"/>
  <c r="N26" i="7"/>
  <c r="O26" i="7"/>
  <c r="P26" i="7"/>
  <c r="Q26" i="7"/>
  <c r="A27" i="7"/>
  <c r="B27" i="7"/>
  <c r="C27" i="7"/>
  <c r="D27" i="7"/>
  <c r="E27" i="7"/>
  <c r="F27" i="7"/>
  <c r="G27" i="7"/>
  <c r="H27" i="7"/>
  <c r="I27" i="7"/>
  <c r="J27" i="7"/>
  <c r="K27" i="7"/>
  <c r="L27" i="7"/>
  <c r="M27" i="7"/>
  <c r="N27" i="7"/>
  <c r="O27" i="7"/>
  <c r="P27" i="7"/>
  <c r="Q27" i="7"/>
  <c r="A28" i="7"/>
  <c r="B28" i="7"/>
  <c r="C28" i="7"/>
  <c r="D28" i="7"/>
  <c r="E28" i="7"/>
  <c r="F28" i="7"/>
  <c r="H28" i="7"/>
  <c r="I28" i="7"/>
  <c r="J28" i="7"/>
  <c r="K28" i="7"/>
  <c r="L28" i="7"/>
  <c r="M28" i="7"/>
  <c r="N28" i="7"/>
  <c r="O28" i="7"/>
  <c r="P28" i="7"/>
  <c r="Q28" i="7"/>
  <c r="A29" i="7"/>
  <c r="B29" i="7"/>
  <c r="C29" i="7"/>
  <c r="D29" i="7"/>
  <c r="E29" i="7"/>
  <c r="F29" i="7"/>
  <c r="G29" i="7"/>
  <c r="H29" i="7"/>
  <c r="I29" i="7"/>
  <c r="J29" i="7"/>
  <c r="K29" i="7"/>
  <c r="L29" i="7"/>
  <c r="M29" i="7"/>
  <c r="N29" i="7"/>
  <c r="O29" i="7"/>
  <c r="P29" i="7"/>
  <c r="Q29" i="7"/>
  <c r="A30" i="7"/>
  <c r="B30" i="7"/>
  <c r="C30" i="7"/>
  <c r="D30" i="7"/>
  <c r="E30" i="7"/>
  <c r="F30" i="7"/>
  <c r="G30" i="7"/>
  <c r="H30" i="7"/>
  <c r="I30" i="7"/>
  <c r="J30" i="7"/>
  <c r="K30" i="7"/>
  <c r="L30" i="7"/>
  <c r="M30" i="7"/>
  <c r="N30" i="7"/>
  <c r="O30" i="7"/>
  <c r="P30" i="7"/>
  <c r="Q30" i="7"/>
  <c r="A31" i="7"/>
  <c r="B32" i="7"/>
  <c r="C32" i="7"/>
  <c r="D32" i="7"/>
  <c r="E32" i="7"/>
  <c r="F32" i="7"/>
  <c r="G32" i="7"/>
  <c r="H32" i="7"/>
  <c r="I32" i="7"/>
  <c r="J32" i="7"/>
  <c r="K32" i="7"/>
  <c r="L32" i="7"/>
  <c r="M32" i="7"/>
  <c r="N32" i="7"/>
  <c r="O32" i="7"/>
  <c r="A33" i="7"/>
  <c r="B33" i="7"/>
  <c r="C33" i="7"/>
  <c r="D33" i="7"/>
  <c r="E33" i="7"/>
  <c r="F33" i="7"/>
  <c r="G33" i="7"/>
  <c r="H33" i="7"/>
  <c r="I33" i="7"/>
  <c r="J33" i="7"/>
  <c r="K33" i="7"/>
  <c r="L33" i="7"/>
  <c r="M33" i="7"/>
  <c r="N33" i="7"/>
  <c r="O33" i="7"/>
  <c r="P33" i="7"/>
  <c r="Q33" i="7"/>
  <c r="B35" i="7"/>
  <c r="C35" i="7"/>
  <c r="D35" i="7"/>
  <c r="E35" i="7"/>
  <c r="F35" i="7"/>
  <c r="G35" i="7"/>
  <c r="H35" i="7"/>
  <c r="I35" i="7"/>
  <c r="J35" i="7"/>
  <c r="K35" i="7"/>
  <c r="L35" i="7"/>
  <c r="M35" i="7"/>
  <c r="P35" i="7"/>
  <c r="B37" i="7"/>
  <c r="C37" i="7"/>
  <c r="D37" i="7"/>
  <c r="E37" i="7"/>
  <c r="F37" i="7"/>
  <c r="G37" i="7"/>
  <c r="H37" i="7"/>
  <c r="I37" i="7"/>
  <c r="J37" i="7"/>
  <c r="K37" i="7"/>
  <c r="L37" i="7"/>
  <c r="M37" i="7"/>
  <c r="P37" i="7"/>
  <c r="B38" i="7"/>
  <c r="C38" i="7"/>
  <c r="D38" i="7"/>
  <c r="E38" i="7"/>
  <c r="F38" i="7"/>
  <c r="G38" i="7"/>
  <c r="H38" i="7"/>
  <c r="I38" i="7"/>
  <c r="J38" i="7"/>
  <c r="K38" i="7"/>
  <c r="L38" i="7"/>
  <c r="M38" i="7"/>
  <c r="O38" i="7"/>
  <c r="P38" i="7"/>
  <c r="Q38" i="7"/>
  <c r="B39" i="7"/>
  <c r="C39" i="7"/>
  <c r="D39" i="7"/>
  <c r="E39" i="7"/>
  <c r="F39" i="7"/>
  <c r="G39" i="7"/>
  <c r="H39" i="7"/>
  <c r="I39" i="7"/>
  <c r="J39" i="7"/>
  <c r="K39" i="7"/>
  <c r="L39" i="7"/>
  <c r="M39" i="7"/>
  <c r="O39" i="7"/>
  <c r="P39" i="7"/>
  <c r="Q39" i="7"/>
  <c r="B40" i="7"/>
  <c r="C40" i="7"/>
  <c r="D40" i="7"/>
  <c r="E40" i="7"/>
  <c r="F40" i="7"/>
  <c r="G40" i="7"/>
  <c r="H40" i="7"/>
  <c r="I40" i="7"/>
  <c r="J40" i="7"/>
  <c r="K40" i="7"/>
  <c r="L40" i="7"/>
  <c r="M40" i="7"/>
  <c r="P40" i="7"/>
  <c r="B45" i="7"/>
  <c r="C45" i="7"/>
  <c r="D45" i="7"/>
  <c r="E45" i="7"/>
  <c r="F45" i="7"/>
  <c r="G45" i="7"/>
  <c r="H45" i="7"/>
  <c r="I45" i="7"/>
  <c r="J45" i="7"/>
  <c r="K45" i="7"/>
  <c r="L45" i="7"/>
  <c r="M45" i="7"/>
  <c r="P45" i="7"/>
  <c r="Q45" i="7"/>
  <c r="A46" i="7"/>
  <c r="B46" i="7"/>
  <c r="C46" i="7"/>
  <c r="L46" i="7"/>
  <c r="M46" i="7"/>
  <c r="N46" i="7"/>
  <c r="O46" i="7"/>
  <c r="P46" i="7"/>
  <c r="Q46" i="7"/>
  <c r="A47" i="7"/>
  <c r="B47" i="7"/>
  <c r="C47" i="7"/>
  <c r="D47" i="7"/>
  <c r="E47" i="7"/>
  <c r="F47" i="7"/>
  <c r="G47" i="7"/>
  <c r="H47" i="7"/>
  <c r="I47" i="7"/>
  <c r="J47" i="7"/>
  <c r="K47" i="7"/>
  <c r="L47" i="7"/>
  <c r="M47" i="7"/>
  <c r="N47" i="7"/>
  <c r="O47" i="7"/>
  <c r="P47" i="7"/>
  <c r="Q47" i="7"/>
  <c r="A48" i="7"/>
  <c r="B48" i="7"/>
  <c r="C48" i="7"/>
  <c r="D48" i="7"/>
  <c r="E48" i="7"/>
  <c r="F48" i="7"/>
  <c r="G48" i="7"/>
  <c r="H48" i="7"/>
  <c r="I48" i="7"/>
  <c r="J48" i="7"/>
  <c r="K48" i="7"/>
  <c r="L48" i="7"/>
  <c r="M48" i="7"/>
  <c r="N48" i="7"/>
  <c r="O48" i="7"/>
  <c r="P48" i="7"/>
  <c r="Q48" i="7"/>
  <c r="A50" i="7"/>
  <c r="B50" i="7"/>
  <c r="C50" i="7"/>
  <c r="D50" i="7"/>
  <c r="E50" i="7"/>
  <c r="F50" i="7"/>
  <c r="G50" i="7"/>
  <c r="H50" i="7"/>
  <c r="I50" i="7"/>
  <c r="J50" i="7"/>
  <c r="K50" i="7"/>
  <c r="L50" i="7"/>
  <c r="M50" i="7"/>
  <c r="N50" i="7"/>
  <c r="O50" i="7"/>
  <c r="P50" i="7"/>
  <c r="Q50" i="7"/>
  <c r="A51" i="7"/>
  <c r="B51" i="7"/>
  <c r="C51" i="7"/>
  <c r="D51" i="7"/>
  <c r="E51" i="7"/>
  <c r="F51" i="7"/>
  <c r="G51" i="7"/>
  <c r="H51" i="7"/>
  <c r="I51" i="7"/>
  <c r="J51" i="7"/>
  <c r="K51" i="7"/>
  <c r="L51" i="7"/>
  <c r="M51" i="7"/>
  <c r="N51" i="7"/>
  <c r="O51" i="7"/>
  <c r="P51" i="7"/>
  <c r="Q51" i="7"/>
  <c r="A52" i="7"/>
  <c r="B52" i="7"/>
  <c r="C52" i="7"/>
  <c r="D52" i="7"/>
  <c r="E52" i="7"/>
  <c r="F52" i="7"/>
  <c r="G52" i="7"/>
  <c r="H52" i="7"/>
  <c r="I52" i="7"/>
  <c r="J52" i="7"/>
  <c r="K52" i="7"/>
  <c r="L52" i="7"/>
  <c r="M52" i="7"/>
  <c r="N52" i="7"/>
  <c r="O52" i="7"/>
  <c r="P52" i="7"/>
  <c r="Q52" i="7"/>
  <c r="A53" i="7"/>
  <c r="B53" i="7"/>
  <c r="C53" i="7"/>
  <c r="D53" i="7"/>
  <c r="E53" i="7"/>
  <c r="F53" i="7"/>
  <c r="G53" i="7"/>
  <c r="H53" i="7"/>
  <c r="I53" i="7"/>
  <c r="J53" i="7"/>
  <c r="K53" i="7"/>
  <c r="L53" i="7"/>
  <c r="M53" i="7"/>
  <c r="N53" i="7"/>
  <c r="O53" i="7"/>
  <c r="P53" i="7"/>
  <c r="Q53" i="7"/>
  <c r="A54" i="7"/>
  <c r="B54" i="7"/>
  <c r="C54" i="7"/>
  <c r="D54" i="7"/>
  <c r="E54" i="7"/>
  <c r="F54" i="7"/>
  <c r="G54" i="7"/>
  <c r="H54" i="7"/>
  <c r="I54" i="7"/>
  <c r="J54" i="7"/>
  <c r="K54" i="7"/>
  <c r="L54" i="7"/>
  <c r="M54" i="7"/>
  <c r="N54" i="7"/>
  <c r="O54" i="7"/>
  <c r="P54" i="7"/>
  <c r="Q54" i="7"/>
  <c r="A60" i="7"/>
  <c r="A62" i="7"/>
  <c r="B62" i="7"/>
  <c r="C62" i="7"/>
  <c r="D62" i="7"/>
  <c r="F62" i="7"/>
  <c r="G62" i="7"/>
  <c r="H62" i="7"/>
  <c r="I62" i="7"/>
  <c r="J62" i="7"/>
  <c r="K62" i="7"/>
  <c r="L62" i="7"/>
  <c r="M62" i="7"/>
  <c r="N62" i="7"/>
  <c r="O62" i="7"/>
  <c r="P62" i="7"/>
  <c r="Q62" i="7"/>
  <c r="A63" i="7"/>
  <c r="B63" i="7"/>
  <c r="C63" i="7"/>
  <c r="D63" i="7"/>
  <c r="E63" i="7"/>
  <c r="F63" i="7"/>
  <c r="G63" i="7"/>
  <c r="H63" i="7"/>
  <c r="I63" i="7"/>
  <c r="J63" i="7"/>
  <c r="K63" i="7"/>
  <c r="L63" i="7"/>
  <c r="M63" i="7"/>
  <c r="N63" i="7"/>
  <c r="O63" i="7"/>
  <c r="P63" i="7"/>
  <c r="Q63" i="7"/>
  <c r="A65" i="7"/>
  <c r="B65" i="7"/>
  <c r="C65" i="7"/>
  <c r="D65" i="7"/>
  <c r="E65" i="7"/>
  <c r="F65" i="7"/>
  <c r="G65" i="7"/>
  <c r="H65" i="7"/>
  <c r="I65" i="7"/>
  <c r="J65" i="7"/>
  <c r="K65" i="7"/>
  <c r="L65" i="7"/>
  <c r="M65" i="7"/>
  <c r="N65" i="7"/>
  <c r="O65" i="7"/>
  <c r="P65" i="7"/>
  <c r="Q65" i="7"/>
  <c r="A66" i="7"/>
  <c r="B66" i="7"/>
  <c r="C66" i="7"/>
  <c r="L66" i="7"/>
  <c r="M66" i="7"/>
  <c r="N66" i="7"/>
  <c r="O66" i="7"/>
  <c r="P66" i="7"/>
  <c r="Q66" i="7"/>
  <c r="A67" i="7"/>
  <c r="B67" i="7"/>
  <c r="C67" i="7"/>
  <c r="D67" i="7"/>
  <c r="E67" i="7"/>
  <c r="F67" i="7"/>
  <c r="G67" i="7"/>
  <c r="H67" i="7"/>
  <c r="I67" i="7"/>
  <c r="J67" i="7"/>
  <c r="K67" i="7"/>
  <c r="L67" i="7"/>
  <c r="M67" i="7"/>
  <c r="N67" i="7"/>
  <c r="O67" i="7"/>
  <c r="P67" i="7"/>
  <c r="Q67" i="7"/>
  <c r="A87" i="7"/>
  <c r="B68" i="7"/>
  <c r="C68" i="7"/>
  <c r="D68" i="7"/>
  <c r="E68" i="7"/>
  <c r="F68" i="7"/>
  <c r="G68" i="7"/>
  <c r="H68" i="7"/>
  <c r="I68" i="7"/>
  <c r="J68" i="7"/>
  <c r="K68" i="7"/>
  <c r="L68" i="7"/>
  <c r="M68" i="7"/>
  <c r="N68" i="7"/>
  <c r="O68" i="7"/>
  <c r="P68" i="7"/>
  <c r="Q68" i="7"/>
  <c r="A69" i="7"/>
  <c r="B69" i="7"/>
  <c r="C69" i="7"/>
  <c r="D69" i="7"/>
  <c r="E69" i="7"/>
  <c r="F69" i="7"/>
  <c r="G69" i="7"/>
  <c r="H69" i="7"/>
  <c r="I69" i="7"/>
  <c r="J69" i="7"/>
  <c r="K69" i="7"/>
  <c r="L69" i="7"/>
  <c r="M69" i="7"/>
  <c r="N69" i="7"/>
  <c r="O69" i="7"/>
  <c r="P69" i="7"/>
  <c r="Q69" i="7"/>
  <c r="A70" i="7"/>
  <c r="B70" i="7"/>
  <c r="C70" i="7"/>
  <c r="D70" i="7"/>
  <c r="E70" i="7"/>
  <c r="F70" i="7"/>
  <c r="G70" i="7"/>
  <c r="H70" i="7"/>
  <c r="I70" i="7"/>
  <c r="J70" i="7"/>
  <c r="K70" i="7"/>
  <c r="L70" i="7"/>
  <c r="M70" i="7"/>
  <c r="N70" i="7"/>
  <c r="O70" i="7"/>
  <c r="P70" i="7"/>
  <c r="Q70" i="7"/>
  <c r="B74" i="7"/>
  <c r="C74" i="7"/>
  <c r="D74" i="7"/>
  <c r="E74" i="7"/>
  <c r="F74" i="7"/>
  <c r="G74" i="7"/>
  <c r="H74" i="7"/>
  <c r="I74" i="7"/>
  <c r="J74" i="7"/>
  <c r="K74" i="7"/>
  <c r="L74" i="7"/>
  <c r="M74" i="7"/>
  <c r="N74" i="7"/>
  <c r="O74" i="7"/>
  <c r="P74" i="7"/>
  <c r="Q74" i="7"/>
  <c r="A75" i="7"/>
  <c r="B75" i="7"/>
  <c r="C75" i="7"/>
  <c r="D75" i="7"/>
  <c r="E75" i="7"/>
  <c r="F75" i="7"/>
  <c r="G75" i="7"/>
  <c r="H75" i="7"/>
  <c r="I75" i="7"/>
  <c r="J75" i="7"/>
  <c r="K75" i="7"/>
  <c r="L75" i="7"/>
  <c r="M75" i="7"/>
  <c r="N75" i="7"/>
  <c r="O75" i="7"/>
  <c r="P75" i="7"/>
  <c r="Q75" i="7"/>
  <c r="A77" i="7"/>
  <c r="B77" i="7"/>
  <c r="C77" i="7"/>
  <c r="K77" i="7"/>
  <c r="M77" i="7"/>
  <c r="N77" i="7"/>
  <c r="O77" i="7"/>
  <c r="P77" i="7"/>
  <c r="Q77" i="7"/>
  <c r="A78" i="7"/>
  <c r="B78" i="7"/>
  <c r="C78" i="7"/>
  <c r="D78" i="7"/>
  <c r="E78" i="7"/>
  <c r="F78" i="7"/>
  <c r="G78" i="7"/>
  <c r="H78" i="7"/>
  <c r="I78" i="7"/>
  <c r="J78" i="7"/>
  <c r="K78" i="7"/>
  <c r="L78" i="7"/>
  <c r="M78" i="7"/>
  <c r="N78" i="7"/>
  <c r="O78" i="7"/>
  <c r="P78" i="7"/>
  <c r="Q78" i="7"/>
  <c r="A79" i="7"/>
  <c r="B79" i="7"/>
  <c r="C79" i="7"/>
  <c r="E79" i="7"/>
  <c r="F79" i="7"/>
  <c r="G79" i="7"/>
  <c r="H79" i="7"/>
  <c r="I79" i="7"/>
  <c r="J79" i="7"/>
  <c r="K79" i="7"/>
  <c r="L79" i="7"/>
  <c r="M79" i="7"/>
  <c r="N79" i="7"/>
  <c r="O79" i="7"/>
  <c r="P79" i="7"/>
  <c r="Q79" i="7"/>
  <c r="A80" i="7"/>
  <c r="B80" i="7"/>
  <c r="C80" i="7"/>
  <c r="D80" i="7"/>
  <c r="E80" i="7"/>
  <c r="F80" i="7"/>
  <c r="G80" i="7"/>
  <c r="H80" i="7"/>
  <c r="I80" i="7"/>
  <c r="J80" i="7"/>
  <c r="K80" i="7"/>
  <c r="L80" i="7"/>
  <c r="M80" i="7"/>
  <c r="N80" i="7"/>
  <c r="O80" i="7"/>
  <c r="P80" i="7"/>
  <c r="Q80" i="7"/>
  <c r="A86" i="7"/>
  <c r="B86" i="7"/>
  <c r="C86" i="7"/>
  <c r="D86" i="7"/>
  <c r="E86" i="7"/>
  <c r="K86" i="7"/>
  <c r="L86" i="7"/>
  <c r="M86" i="7"/>
  <c r="N86" i="7"/>
  <c r="O86" i="7"/>
  <c r="P86" i="7"/>
  <c r="Q86" i="7"/>
  <c r="B87" i="7"/>
  <c r="C87" i="7"/>
  <c r="D87" i="7"/>
  <c r="E87" i="7"/>
  <c r="F87" i="7"/>
  <c r="G87" i="7"/>
  <c r="H87" i="7"/>
  <c r="I87" i="7"/>
  <c r="J87" i="7"/>
  <c r="K87" i="7"/>
  <c r="L87" i="7"/>
  <c r="M87" i="7"/>
  <c r="N87" i="7"/>
  <c r="O87" i="7"/>
  <c r="P87" i="7"/>
  <c r="Q87" i="7"/>
  <c r="A88" i="7"/>
  <c r="B88" i="7"/>
  <c r="C88" i="7"/>
  <c r="D88" i="7"/>
  <c r="E88" i="7"/>
  <c r="F88" i="7"/>
  <c r="G88" i="7"/>
  <c r="H88" i="7"/>
  <c r="I88" i="7"/>
  <c r="J88" i="7"/>
  <c r="K88" i="7"/>
  <c r="L88" i="7"/>
  <c r="M88" i="7"/>
  <c r="N88" i="7"/>
  <c r="O88" i="7"/>
  <c r="P88" i="7"/>
  <c r="Q88" i="7"/>
  <c r="A89" i="7"/>
  <c r="B89" i="7"/>
  <c r="C89" i="7"/>
  <c r="D89" i="7"/>
  <c r="E89" i="7"/>
  <c r="F89" i="7"/>
  <c r="G89" i="7"/>
  <c r="H89" i="7"/>
  <c r="I89" i="7"/>
  <c r="J89" i="7"/>
  <c r="K89" i="7"/>
  <c r="L89" i="7"/>
  <c r="M89" i="7"/>
  <c r="N89" i="7"/>
  <c r="O89" i="7"/>
  <c r="P89" i="7"/>
  <c r="Q89" i="7"/>
  <c r="A90" i="7"/>
  <c r="B90" i="7"/>
  <c r="C90" i="7"/>
  <c r="D90" i="7"/>
  <c r="E90" i="7"/>
  <c r="F90" i="7"/>
  <c r="G90" i="7"/>
  <c r="H90" i="7"/>
  <c r="I90" i="7"/>
  <c r="J90" i="7"/>
  <c r="K90" i="7"/>
  <c r="L90" i="7"/>
  <c r="M90" i="7"/>
  <c r="N90" i="7"/>
  <c r="O90" i="7"/>
  <c r="P90" i="7"/>
  <c r="Q90" i="7"/>
  <c r="A91" i="7"/>
  <c r="B91" i="7"/>
  <c r="C91" i="7"/>
  <c r="D91" i="7"/>
  <c r="E91" i="7"/>
  <c r="F91" i="7"/>
  <c r="G91" i="7"/>
  <c r="H91" i="7"/>
  <c r="I91" i="7"/>
  <c r="J91" i="7"/>
  <c r="K91" i="7"/>
  <c r="L91" i="7"/>
  <c r="M91" i="7"/>
  <c r="N91" i="7"/>
  <c r="O91" i="7"/>
  <c r="P91" i="7"/>
  <c r="Q91" i="7"/>
  <c r="A92" i="7"/>
  <c r="B92" i="7"/>
  <c r="C92" i="7"/>
  <c r="D92" i="7"/>
  <c r="E92" i="7"/>
  <c r="F92" i="7"/>
  <c r="G92" i="7"/>
  <c r="H92" i="7"/>
  <c r="I92" i="7"/>
  <c r="J92" i="7"/>
  <c r="L92" i="7"/>
  <c r="M92" i="7"/>
  <c r="N92" i="7"/>
  <c r="O92" i="7"/>
  <c r="P92" i="7"/>
  <c r="Q92" i="7"/>
  <c r="A93" i="7"/>
  <c r="B93" i="7"/>
  <c r="C93" i="7"/>
  <c r="D93" i="7"/>
  <c r="E93" i="7"/>
  <c r="F93" i="7"/>
  <c r="G93" i="7"/>
  <c r="H93" i="7"/>
  <c r="I93" i="7"/>
  <c r="J93" i="7"/>
  <c r="L93" i="7"/>
  <c r="M93" i="7"/>
  <c r="N93" i="7"/>
  <c r="O93" i="7"/>
  <c r="P93" i="7"/>
  <c r="Q93" i="7"/>
  <c r="A94" i="7"/>
  <c r="B94" i="7"/>
  <c r="C94" i="7"/>
  <c r="D94" i="7"/>
  <c r="E94" i="7"/>
  <c r="F94" i="7"/>
  <c r="G94" i="7"/>
  <c r="H94" i="7"/>
  <c r="I94" i="7"/>
  <c r="J94" i="7"/>
  <c r="K94" i="7"/>
  <c r="L94" i="7"/>
  <c r="M94" i="7"/>
  <c r="N94" i="7"/>
  <c r="O94" i="7"/>
  <c r="P94" i="7"/>
  <c r="Q94" i="7"/>
  <c r="A95" i="7"/>
  <c r="B95" i="7"/>
  <c r="C95" i="7"/>
  <c r="D95" i="7"/>
  <c r="E95" i="7"/>
  <c r="F95" i="7"/>
  <c r="G95" i="7"/>
  <c r="H95" i="7"/>
  <c r="I95" i="7"/>
  <c r="J95" i="7"/>
  <c r="K95" i="7"/>
  <c r="L95" i="7"/>
  <c r="M95" i="7"/>
  <c r="N95" i="7"/>
  <c r="O95" i="7"/>
  <c r="Q95" i="7"/>
  <c r="A98" i="7"/>
  <c r="B98" i="7"/>
  <c r="C98" i="7"/>
  <c r="D98" i="7"/>
  <c r="E98" i="7"/>
  <c r="F98" i="7"/>
  <c r="G98" i="7"/>
  <c r="H98" i="7"/>
  <c r="I98" i="7"/>
  <c r="J98" i="7"/>
  <c r="K98" i="7"/>
  <c r="L98" i="7"/>
  <c r="M98" i="7"/>
  <c r="N98" i="7"/>
  <c r="O98" i="7"/>
  <c r="P98" i="7"/>
  <c r="Q98" i="7"/>
  <c r="A102" i="7"/>
  <c r="B102" i="7"/>
  <c r="C102" i="7"/>
  <c r="D102" i="7"/>
  <c r="E102" i="7"/>
  <c r="F102" i="7"/>
  <c r="G102" i="7"/>
  <c r="H102" i="7"/>
  <c r="I102" i="7"/>
  <c r="J102" i="7"/>
  <c r="K102" i="7"/>
  <c r="L102" i="7"/>
  <c r="M102" i="7"/>
  <c r="N102" i="7"/>
  <c r="O102" i="7"/>
  <c r="P102" i="7"/>
  <c r="Q102" i="7"/>
  <c r="A103" i="7"/>
  <c r="B103" i="7"/>
  <c r="C103" i="7"/>
  <c r="D103" i="7"/>
  <c r="E103" i="7"/>
  <c r="L103" i="7"/>
  <c r="M103" i="7"/>
  <c r="N103" i="7"/>
  <c r="O103" i="7"/>
  <c r="P103" i="7"/>
  <c r="Q103" i="7"/>
  <c r="A104" i="7"/>
  <c r="B104" i="7"/>
  <c r="C104" i="7"/>
  <c r="D104" i="7"/>
  <c r="E104" i="7"/>
  <c r="F104" i="7"/>
  <c r="G104" i="7"/>
  <c r="H104" i="7"/>
  <c r="I104" i="7"/>
  <c r="J104" i="7"/>
  <c r="K104" i="7"/>
  <c r="L104" i="7"/>
  <c r="M104" i="7"/>
  <c r="N104" i="7"/>
  <c r="O104" i="7"/>
  <c r="P104" i="7"/>
  <c r="Q104" i="7"/>
  <c r="A105" i="7"/>
  <c r="B105" i="7"/>
  <c r="C105" i="7"/>
  <c r="D105" i="7"/>
  <c r="E105" i="7"/>
  <c r="F105" i="7"/>
  <c r="G105" i="7"/>
  <c r="H105" i="7"/>
  <c r="I105" i="7"/>
  <c r="J105" i="7"/>
  <c r="K105" i="7"/>
  <c r="L105" i="7"/>
  <c r="M105" i="7"/>
  <c r="N105" i="7"/>
  <c r="O105" i="7"/>
  <c r="P105" i="7"/>
  <c r="Q105" i="7"/>
  <c r="A106" i="7"/>
  <c r="B106" i="7"/>
  <c r="C106" i="7"/>
  <c r="D106" i="7"/>
  <c r="E106" i="7"/>
  <c r="F106" i="7"/>
  <c r="G106" i="7"/>
  <c r="H106" i="7"/>
  <c r="I106" i="7"/>
  <c r="J106" i="7"/>
  <c r="K106" i="7"/>
  <c r="L106" i="7"/>
  <c r="M106" i="7"/>
  <c r="N106" i="7"/>
  <c r="O106" i="7"/>
  <c r="P106" i="7"/>
  <c r="Q106" i="7"/>
  <c r="A107" i="7"/>
  <c r="B107" i="7"/>
  <c r="C107" i="7"/>
  <c r="D107" i="7"/>
  <c r="E107" i="7"/>
  <c r="F107" i="7"/>
  <c r="G107" i="7"/>
  <c r="H107" i="7"/>
  <c r="I107" i="7"/>
  <c r="J107" i="7"/>
  <c r="K107" i="7"/>
  <c r="L107" i="7"/>
  <c r="M107" i="7"/>
  <c r="N107" i="7"/>
  <c r="O107" i="7"/>
  <c r="P107" i="7"/>
  <c r="Q107" i="7"/>
  <c r="A108" i="7"/>
  <c r="B108" i="7"/>
  <c r="C108" i="7"/>
  <c r="D108" i="7"/>
  <c r="E108" i="7"/>
  <c r="F108" i="7"/>
  <c r="K108" i="7"/>
  <c r="L108" i="7"/>
  <c r="M108" i="7"/>
  <c r="N108" i="7"/>
  <c r="D16" i="7"/>
  <c r="E16" i="7"/>
  <c r="F16" i="7"/>
  <c r="G16" i="7"/>
  <c r="H16" i="7"/>
  <c r="I16" i="7"/>
  <c r="J16" i="7"/>
  <c r="K16" i="7"/>
  <c r="G28" i="7"/>
  <c r="D46" i="7"/>
  <c r="E46" i="7"/>
  <c r="F46" i="7"/>
  <c r="I46" i="7"/>
  <c r="J46" i="7"/>
  <c r="F66" i="7"/>
  <c r="G66" i="7"/>
  <c r="H66" i="7"/>
  <c r="I66" i="7"/>
  <c r="J66" i="7"/>
  <c r="K66" i="7"/>
  <c r="F77" i="7"/>
  <c r="G77" i="7"/>
  <c r="H77" i="7"/>
  <c r="I77" i="7"/>
  <c r="J77" i="7"/>
  <c r="F103" i="7"/>
  <c r="G103" i="7"/>
  <c r="H103" i="7"/>
  <c r="I103" i="7"/>
  <c r="J103" i="7"/>
  <c r="G108" i="7"/>
  <c r="H108" i="7"/>
  <c r="I108" i="7"/>
  <c r="J108" i="7"/>
  <c r="N139" i="9" l="1"/>
  <c r="N138" i="9"/>
  <c r="N137" i="9"/>
  <c r="N136" i="9"/>
  <c r="N135" i="9"/>
  <c r="N134" i="9"/>
  <c r="N142" i="9"/>
  <c r="N140" i="9"/>
  <c r="N141" i="9"/>
  <c r="N102" i="9"/>
  <c r="D161" i="11" s="1"/>
  <c r="N100" i="9"/>
  <c r="N101" i="9"/>
  <c r="D143" i="11" s="1"/>
  <c r="N103" i="9"/>
  <c r="N99" i="9"/>
  <c r="D135" i="11" s="1"/>
  <c r="N123" i="9"/>
  <c r="N124" i="9"/>
  <c r="N125" i="9"/>
  <c r="N126" i="9"/>
  <c r="N127" i="9"/>
  <c r="D152" i="11" s="1"/>
  <c r="N128" i="9"/>
  <c r="D157" i="11" s="1"/>
  <c r="N112" i="9"/>
  <c r="N114" i="9"/>
  <c r="N113" i="9"/>
  <c r="N146" i="9"/>
  <c r="D120" i="11" s="1"/>
  <c r="D201" i="9" s="1"/>
  <c r="N145" i="9"/>
  <c r="N107" i="9"/>
  <c r="N106" i="9"/>
  <c r="N108" i="9"/>
  <c r="N109" i="9"/>
  <c r="N86" i="9"/>
  <c r="N85" i="9"/>
  <c r="N80" i="9"/>
  <c r="D114" i="11" s="1"/>
  <c r="N81" i="9"/>
  <c r="D119" i="11" s="1"/>
  <c r="N79" i="9"/>
  <c r="N82" i="9"/>
  <c r="D118" i="11" s="1"/>
  <c r="D73" i="11"/>
  <c r="D154" i="9" s="1"/>
  <c r="C19" i="10" s="1"/>
  <c r="I19" i="10" s="1"/>
  <c r="D163" i="9"/>
  <c r="D207" i="9"/>
  <c r="C126" i="10" s="1"/>
  <c r="I126" i="10" s="1"/>
  <c r="D181" i="9"/>
  <c r="D174" i="9"/>
  <c r="D152" i="9"/>
  <c r="C17" i="10" s="1"/>
  <c r="D162" i="9"/>
  <c r="C27" i="10" s="1"/>
  <c r="E27" i="10" s="1"/>
  <c r="D236" i="9"/>
  <c r="C155" i="10" s="1"/>
  <c r="I155" i="10" s="1"/>
  <c r="D241" i="9"/>
  <c r="C160" i="10" s="1"/>
  <c r="D164" i="9"/>
  <c r="C42" i="10" s="1"/>
  <c r="D177" i="9"/>
  <c r="D167" i="9"/>
  <c r="C45" i="10" s="1"/>
  <c r="E45" i="10" s="1"/>
  <c r="D170" i="9"/>
  <c r="D219" i="9"/>
  <c r="C138" i="10" s="1"/>
  <c r="I138" i="10" s="1"/>
  <c r="D213" i="9"/>
  <c r="C132" i="10" s="1"/>
  <c r="I132" i="10" s="1"/>
  <c r="D209" i="9"/>
  <c r="C128" i="10" s="1"/>
  <c r="I128" i="10" s="1"/>
  <c r="D228" i="9"/>
  <c r="C147" i="10" s="1"/>
  <c r="I147" i="10" s="1"/>
  <c r="D198" i="9"/>
  <c r="D178" i="9"/>
  <c r="C73" i="10" s="1"/>
  <c r="I73" i="10" s="1"/>
  <c r="D208" i="9"/>
  <c r="C127" i="10" s="1"/>
  <c r="I127" i="10" s="1"/>
  <c r="D175" i="9"/>
  <c r="D179" i="9"/>
  <c r="D155" i="9"/>
  <c r="C20" i="10" s="1"/>
  <c r="I20" i="10" s="1"/>
  <c r="D232" i="9"/>
  <c r="C151" i="10" s="1"/>
  <c r="I151" i="10" s="1"/>
  <c r="D229" i="9"/>
  <c r="C148" i="10" s="1"/>
  <c r="I148" i="10" s="1"/>
  <c r="D166" i="9"/>
  <c r="D176" i="9"/>
  <c r="D157" i="9"/>
  <c r="C22" i="10" s="1"/>
  <c r="I22" i="10" s="1"/>
  <c r="D239" i="9"/>
  <c r="C158" i="10" s="1"/>
  <c r="D169" i="9"/>
  <c r="C47" i="10" s="1"/>
  <c r="E47" i="10" s="1"/>
  <c r="D153" i="9"/>
  <c r="C18" i="10" s="1"/>
  <c r="I18" i="10" s="1"/>
  <c r="D203" i="9"/>
  <c r="C122" i="10" s="1"/>
  <c r="I122" i="10" s="1"/>
  <c r="D211" i="9"/>
  <c r="C130" i="10" s="1"/>
  <c r="I130" i="10" s="1"/>
  <c r="D165" i="9"/>
  <c r="C43" i="10" s="1"/>
  <c r="N43" i="10" s="1"/>
  <c r="D225" i="9"/>
  <c r="C144" i="10" s="1"/>
  <c r="I144" i="10" s="1"/>
  <c r="D180" i="9"/>
  <c r="D237" i="9"/>
  <c r="C156" i="10" s="1"/>
  <c r="I156" i="10" s="1"/>
  <c r="D240" i="9"/>
  <c r="C159" i="10" s="1"/>
  <c r="D151" i="9"/>
  <c r="D230" i="9"/>
  <c r="C149" i="10" s="1"/>
  <c r="E149" i="10" s="1"/>
  <c r="D223" i="9"/>
  <c r="C142" i="10" s="1"/>
  <c r="I142" i="10" s="1"/>
  <c r="D182" i="9"/>
  <c r="C77" i="10" s="1"/>
  <c r="E77" i="10" s="1"/>
  <c r="D210" i="9"/>
  <c r="C129" i="10" s="1"/>
  <c r="E129" i="10" s="1"/>
  <c r="D202" i="9"/>
  <c r="C121" i="10" s="1"/>
  <c r="I121" i="10" s="1"/>
  <c r="D204" i="9"/>
  <c r="C123" i="10" s="1"/>
  <c r="I123" i="10" s="1"/>
  <c r="D220" i="9"/>
  <c r="C139" i="10" s="1"/>
  <c r="I139" i="10" s="1"/>
  <c r="I28" i="10"/>
  <c r="I100" i="10"/>
  <c r="E100" i="10"/>
  <c r="I51" i="10"/>
  <c r="E51" i="10"/>
  <c r="I50" i="10"/>
  <c r="E50" i="10"/>
  <c r="I67" i="10"/>
  <c r="E67" i="10"/>
  <c r="E30" i="10"/>
  <c r="E188" i="10"/>
  <c r="I188" i="10"/>
  <c r="E187" i="10"/>
  <c r="I187" i="10"/>
  <c r="E186" i="10"/>
  <c r="I186" i="10"/>
  <c r="E185" i="10"/>
  <c r="I185" i="10"/>
  <c r="E184" i="10"/>
  <c r="I184" i="10"/>
  <c r="E183" i="10"/>
  <c r="I183" i="10"/>
  <c r="E182" i="10"/>
  <c r="I182" i="10"/>
  <c r="E181" i="10"/>
  <c r="I181" i="10"/>
  <c r="E180" i="10"/>
  <c r="I180" i="10"/>
  <c r="E178" i="10"/>
  <c r="I178" i="10"/>
  <c r="I174" i="10"/>
  <c r="E174" i="10"/>
  <c r="I173" i="10"/>
  <c r="E173" i="10"/>
  <c r="I172" i="10"/>
  <c r="E172" i="10"/>
  <c r="I171" i="10"/>
  <c r="E171" i="10"/>
  <c r="I170" i="10"/>
  <c r="E170" i="10"/>
  <c r="I169" i="10"/>
  <c r="E169" i="10"/>
  <c r="I168" i="10"/>
  <c r="E168" i="10"/>
  <c r="I167" i="10"/>
  <c r="E167" i="10"/>
  <c r="I166" i="10"/>
  <c r="E166" i="10"/>
  <c r="I165" i="10"/>
  <c r="E165" i="10"/>
  <c r="I164" i="10"/>
  <c r="E164" i="10"/>
  <c r="I163" i="10"/>
  <c r="E163" i="10"/>
  <c r="I117" i="10"/>
  <c r="I103" i="10"/>
  <c r="I116" i="10"/>
  <c r="I102" i="10"/>
  <c r="I115" i="10"/>
  <c r="I101" i="10"/>
  <c r="I98" i="10"/>
  <c r="I99" i="10"/>
  <c r="I97" i="10"/>
  <c r="I96" i="10"/>
  <c r="N79" i="10"/>
  <c r="I79" i="10"/>
  <c r="I78" i="10"/>
  <c r="I81" i="10"/>
  <c r="N80" i="10"/>
  <c r="I80" i="10"/>
  <c r="I68" i="10"/>
  <c r="I66" i="10"/>
  <c r="I65" i="10"/>
  <c r="I64" i="10"/>
  <c r="I49" i="10"/>
  <c r="I48" i="10"/>
  <c r="N52" i="10"/>
  <c r="I52" i="10"/>
  <c r="N53" i="10"/>
  <c r="I53" i="10"/>
  <c r="I32" i="10"/>
  <c r="I33" i="10"/>
  <c r="I30" i="10"/>
  <c r="I37" i="10"/>
  <c r="I29" i="10"/>
  <c r="I31" i="10"/>
  <c r="I34" i="10"/>
  <c r="I36" i="10"/>
  <c r="I35" i="10"/>
  <c r="K139" i="9"/>
  <c r="K138" i="9"/>
  <c r="K137" i="9"/>
  <c r="K136" i="9"/>
  <c r="K135" i="9"/>
  <c r="D125" i="11"/>
  <c r="D162" i="11"/>
  <c r="K142" i="9"/>
  <c r="D194" i="9"/>
  <c r="D168" i="9"/>
  <c r="K82" i="9"/>
  <c r="K114" i="9"/>
  <c r="K131" i="9"/>
  <c r="K86" i="9"/>
  <c r="K85" i="9"/>
  <c r="K109" i="9"/>
  <c r="K108" i="9"/>
  <c r="K106" i="9"/>
  <c r="K107" i="9"/>
  <c r="K124" i="9"/>
  <c r="K125" i="9"/>
  <c r="K126" i="9"/>
  <c r="K127" i="9"/>
  <c r="K123" i="9"/>
  <c r="K128" i="9"/>
  <c r="K113" i="9"/>
  <c r="K112" i="9"/>
  <c r="K140" i="9"/>
  <c r="K141" i="9"/>
  <c r="K134" i="9"/>
  <c r="K90" i="9"/>
  <c r="K89" i="9"/>
  <c r="K93" i="9"/>
  <c r="K95" i="9"/>
  <c r="K96" i="9"/>
  <c r="K94" i="9"/>
  <c r="K79" i="9"/>
  <c r="K80" i="9"/>
  <c r="K81" i="9"/>
  <c r="K119" i="9"/>
  <c r="K120" i="9"/>
  <c r="K118" i="9"/>
  <c r="K99" i="9"/>
  <c r="K102" i="9"/>
  <c r="K103" i="9"/>
  <c r="K100" i="9"/>
  <c r="K101" i="9"/>
  <c r="D110" i="11"/>
  <c r="D104" i="11"/>
  <c r="D154" i="11"/>
  <c r="K93" i="7"/>
  <c r="D19" i="7"/>
  <c r="K92" i="7"/>
  <c r="I21" i="7"/>
  <c r="G21" i="7"/>
  <c r="H21" i="7"/>
  <c r="E21" i="7"/>
  <c r="D20" i="7"/>
  <c r="J21" i="7"/>
  <c r="J19" i="7"/>
  <c r="F21" i="7"/>
  <c r="E19" i="7"/>
  <c r="I19" i="7"/>
  <c r="C59" i="3"/>
  <c r="C16" i="10" l="1"/>
  <c r="I16" i="10" s="1"/>
  <c r="D115" i="11"/>
  <c r="D196" i="9" s="1"/>
  <c r="C72" i="10"/>
  <c r="E72" i="10" s="1"/>
  <c r="C63" i="10"/>
  <c r="I63" i="10" s="1"/>
  <c r="C74" i="10"/>
  <c r="I74" i="10" s="1"/>
  <c r="C61" i="10"/>
  <c r="N61" i="10" s="1"/>
  <c r="C76" i="10"/>
  <c r="E76" i="10" s="1"/>
  <c r="C44" i="10"/>
  <c r="E44" i="10" s="1"/>
  <c r="C111" i="10"/>
  <c r="I111" i="10" s="1"/>
  <c r="C57" i="10"/>
  <c r="I57" i="10" s="1"/>
  <c r="I27" i="10"/>
  <c r="C179" i="10"/>
  <c r="D134" i="11"/>
  <c r="D153" i="11"/>
  <c r="D124" i="11"/>
  <c r="D146" i="11"/>
  <c r="D109" i="11"/>
  <c r="D136" i="11"/>
  <c r="D150" i="11"/>
  <c r="D112" i="11"/>
  <c r="D145" i="11"/>
  <c r="E73" i="10"/>
  <c r="E155" i="10"/>
  <c r="E151" i="10"/>
  <c r="E138" i="10"/>
  <c r="E126" i="10"/>
  <c r="E132" i="10"/>
  <c r="E20" i="10"/>
  <c r="E148" i="10"/>
  <c r="E122" i="10"/>
  <c r="E22" i="10"/>
  <c r="I77" i="10"/>
  <c r="I43" i="10"/>
  <c r="E127" i="10"/>
  <c r="E123" i="10"/>
  <c r="I47" i="10"/>
  <c r="E19" i="10"/>
  <c r="E130" i="10"/>
  <c r="E156" i="10"/>
  <c r="E144" i="10"/>
  <c r="E43" i="10"/>
  <c r="E142" i="10"/>
  <c r="I45" i="10"/>
  <c r="E128" i="10"/>
  <c r="E147" i="10"/>
  <c r="E139" i="10"/>
  <c r="E18" i="10"/>
  <c r="D233" i="9"/>
  <c r="C152" i="10" s="1"/>
  <c r="I152" i="10" s="1"/>
  <c r="I149" i="10"/>
  <c r="I129" i="10"/>
  <c r="D185" i="9"/>
  <c r="D206" i="9"/>
  <c r="C125" i="10" s="1"/>
  <c r="I125" i="10" s="1"/>
  <c r="D243" i="9"/>
  <c r="C162" i="10" s="1"/>
  <c r="D216" i="9"/>
  <c r="C135" i="10" s="1"/>
  <c r="E135" i="10" s="1"/>
  <c r="E121" i="10"/>
  <c r="D235" i="9"/>
  <c r="C154" i="10" s="1"/>
  <c r="E154" i="10" s="1"/>
  <c r="D195" i="9"/>
  <c r="C108" i="10" s="1"/>
  <c r="I17" i="10"/>
  <c r="E17" i="10"/>
  <c r="I42" i="10"/>
  <c r="C46" i="10"/>
  <c r="D242" i="9"/>
  <c r="C161" i="10" s="1"/>
  <c r="D200" i="9"/>
  <c r="C113" i="10" s="1"/>
  <c r="D199" i="9"/>
  <c r="C112" i="10" s="1"/>
  <c r="D21" i="7"/>
  <c r="E16" i="10" l="1"/>
  <c r="D105" i="11"/>
  <c r="D186" i="9" s="1"/>
  <c r="D77" i="11"/>
  <c r="D158" i="9" s="1"/>
  <c r="C23" i="10" s="1"/>
  <c r="D79" i="11"/>
  <c r="D160" i="9" s="1"/>
  <c r="C25" i="10" s="1"/>
  <c r="D80" i="11"/>
  <c r="D161" i="9" s="1"/>
  <c r="C26" i="10" s="1"/>
  <c r="D111" i="11"/>
  <c r="D192" i="9" s="1"/>
  <c r="C94" i="10" s="1"/>
  <c r="I94" i="10" s="1"/>
  <c r="D102" i="11"/>
  <c r="D183" i="9" s="1"/>
  <c r="C85" i="10" s="1"/>
  <c r="D91" i="11"/>
  <c r="D172" i="9" s="1"/>
  <c r="D75" i="11"/>
  <c r="D156" i="9" s="1"/>
  <c r="D107" i="11"/>
  <c r="D188" i="9" s="1"/>
  <c r="C90" i="10" s="1"/>
  <c r="D108" i="11"/>
  <c r="D189" i="9" s="1"/>
  <c r="C91" i="10" s="1"/>
  <c r="I91" i="10" s="1"/>
  <c r="D133" i="11"/>
  <c r="D214" i="9" s="1"/>
  <c r="C133" i="10" s="1"/>
  <c r="D78" i="11"/>
  <c r="D159" i="9" s="1"/>
  <c r="C24" i="10" s="1"/>
  <c r="D106" i="11"/>
  <c r="D187" i="9" s="1"/>
  <c r="C89" i="10" s="1"/>
  <c r="D141" i="11"/>
  <c r="D222" i="9" s="1"/>
  <c r="C141" i="10" s="1"/>
  <c r="D137" i="11"/>
  <c r="D218" i="9" s="1"/>
  <c r="C137" i="10" s="1"/>
  <c r="D90" i="11"/>
  <c r="D171" i="9" s="1"/>
  <c r="C58" i="10" s="1"/>
  <c r="E63" i="10"/>
  <c r="N72" i="10"/>
  <c r="I72" i="10"/>
  <c r="E74" i="10"/>
  <c r="N63" i="10"/>
  <c r="I61" i="10"/>
  <c r="I44" i="10"/>
  <c r="I76" i="10"/>
  <c r="E111" i="10"/>
  <c r="C107" i="10"/>
  <c r="E61" i="10"/>
  <c r="E57" i="10"/>
  <c r="C87" i="10"/>
  <c r="C114" i="10"/>
  <c r="I179" i="10"/>
  <c r="I177" i="10" s="1"/>
  <c r="C189" i="10"/>
  <c r="E179" i="10"/>
  <c r="E189" i="10" s="1"/>
  <c r="E152" i="10"/>
  <c r="I135" i="10"/>
  <c r="I154" i="10"/>
  <c r="E125" i="10"/>
  <c r="D212" i="9"/>
  <c r="C131" i="10" s="1"/>
  <c r="E131" i="10" s="1"/>
  <c r="D238" i="9"/>
  <c r="C157" i="10" s="1"/>
  <c r="D221" i="9"/>
  <c r="C140" i="10" s="1"/>
  <c r="I140" i="10" s="1"/>
  <c r="D184" i="9"/>
  <c r="D173" i="9"/>
  <c r="D215" i="9"/>
  <c r="C134" i="10" s="1"/>
  <c r="E134" i="10" s="1"/>
  <c r="D205" i="9"/>
  <c r="D226" i="9"/>
  <c r="C145" i="10" s="1"/>
  <c r="I145" i="10" s="1"/>
  <c r="D197" i="9"/>
  <c r="C110" i="10" s="1"/>
  <c r="E110" i="10" s="1"/>
  <c r="D217" i="9"/>
  <c r="E112" i="10"/>
  <c r="I112" i="10"/>
  <c r="E113" i="10"/>
  <c r="I113" i="10"/>
  <c r="I108" i="10"/>
  <c r="C109" i="10"/>
  <c r="I109" i="10" s="1"/>
  <c r="E46" i="10"/>
  <c r="I46" i="10"/>
  <c r="D227" i="9"/>
  <c r="C146" i="10" s="1"/>
  <c r="D234" i="9"/>
  <c r="C153" i="10" s="1"/>
  <c r="D193" i="9"/>
  <c r="D224" i="9"/>
  <c r="C143" i="10" s="1"/>
  <c r="D190" i="9"/>
  <c r="D231" i="9"/>
  <c r="C150" i="10" s="1"/>
  <c r="D191" i="9"/>
  <c r="E108" i="10"/>
  <c r="G66" i="3"/>
  <c r="G67" i="3"/>
  <c r="G68" i="3"/>
  <c r="G69" i="3"/>
  <c r="G70" i="3"/>
  <c r="G71" i="3"/>
  <c r="G72" i="3"/>
  <c r="G73" i="3"/>
  <c r="G74" i="3"/>
  <c r="G75" i="3"/>
  <c r="G76" i="3"/>
  <c r="G77" i="3"/>
  <c r="G78" i="3"/>
  <c r="G79" i="3"/>
  <c r="G80" i="3"/>
  <c r="G81" i="3"/>
  <c r="G82" i="3"/>
  <c r="G65" i="3"/>
  <c r="F66" i="3"/>
  <c r="F67" i="3"/>
  <c r="F68" i="3"/>
  <c r="F69" i="3"/>
  <c r="F70" i="3"/>
  <c r="F71" i="3"/>
  <c r="F72" i="3"/>
  <c r="F73" i="3"/>
  <c r="F74" i="3"/>
  <c r="F75" i="3"/>
  <c r="F76" i="3"/>
  <c r="F77" i="3"/>
  <c r="F78" i="3"/>
  <c r="F79" i="3"/>
  <c r="F80" i="3"/>
  <c r="F81" i="3"/>
  <c r="F82" i="3"/>
  <c r="F65" i="3"/>
  <c r="C66" i="3"/>
  <c r="C67" i="3"/>
  <c r="C68" i="3"/>
  <c r="C69" i="3"/>
  <c r="C70" i="3"/>
  <c r="C71" i="3"/>
  <c r="C72" i="3"/>
  <c r="C73" i="3"/>
  <c r="C74" i="3"/>
  <c r="C75" i="3"/>
  <c r="C76" i="3"/>
  <c r="C77" i="3"/>
  <c r="C78" i="3"/>
  <c r="C79" i="3"/>
  <c r="C80" i="3"/>
  <c r="C81" i="3"/>
  <c r="C82" i="3"/>
  <c r="C65" i="3"/>
  <c r="C21" i="10" l="1"/>
  <c r="I21" i="10" s="1"/>
  <c r="I58" i="10"/>
  <c r="E58" i="10"/>
  <c r="I137" i="10"/>
  <c r="E137" i="10"/>
  <c r="I141" i="10"/>
  <c r="E141" i="10"/>
  <c r="I89" i="10"/>
  <c r="E89" i="10"/>
  <c r="I24" i="10"/>
  <c r="E24" i="10"/>
  <c r="I26" i="10"/>
  <c r="E26" i="10"/>
  <c r="I133" i="10"/>
  <c r="E133" i="10"/>
  <c r="I25" i="10"/>
  <c r="E25" i="10"/>
  <c r="I23" i="10"/>
  <c r="E23" i="10"/>
  <c r="E91" i="10"/>
  <c r="E94" i="10"/>
  <c r="I90" i="10"/>
  <c r="E90" i="10"/>
  <c r="C136" i="10"/>
  <c r="I136" i="10" s="1"/>
  <c r="C88" i="10"/>
  <c r="I88" i="10" s="1"/>
  <c r="I114" i="10"/>
  <c r="E114" i="10"/>
  <c r="C92" i="10"/>
  <c r="E92" i="10" s="1"/>
  <c r="C59" i="10"/>
  <c r="C60" i="10"/>
  <c r="C41" i="10"/>
  <c r="C95" i="10"/>
  <c r="E95" i="10" s="1"/>
  <c r="C62" i="10"/>
  <c r="C86" i="10"/>
  <c r="C124" i="10"/>
  <c r="I124" i="10" s="1"/>
  <c r="C75" i="10"/>
  <c r="E107" i="10"/>
  <c r="I107" i="10"/>
  <c r="I189" i="10"/>
  <c r="I190" i="10"/>
  <c r="I110" i="10"/>
  <c r="I134" i="10"/>
  <c r="C118" i="10"/>
  <c r="I131" i="10"/>
  <c r="E145" i="10"/>
  <c r="E140" i="10"/>
  <c r="E109" i="10"/>
  <c r="I143" i="10"/>
  <c r="E143" i="10"/>
  <c r="I146" i="10"/>
  <c r="E146" i="10"/>
  <c r="C93" i="10"/>
  <c r="I150" i="10"/>
  <c r="E150" i="10"/>
  <c r="I153" i="10"/>
  <c r="E153" i="10"/>
  <c r="I162" i="10"/>
  <c r="E162" i="10"/>
  <c r="I158" i="10"/>
  <c r="E158" i="10"/>
  <c r="E87" i="10"/>
  <c r="I87" i="10"/>
  <c r="E42" i="10"/>
  <c r="M26" i="3"/>
  <c r="E21" i="10" l="1"/>
  <c r="E38" i="10" s="1"/>
  <c r="C38" i="10"/>
  <c r="N38" i="10" s="1"/>
  <c r="I39" i="10"/>
  <c r="I38" i="10"/>
  <c r="I15" i="10"/>
  <c r="E88" i="10"/>
  <c r="E136" i="10"/>
  <c r="I95" i="10"/>
  <c r="I119" i="10"/>
  <c r="C69" i="10"/>
  <c r="E118" i="10"/>
  <c r="I75" i="10"/>
  <c r="E75" i="10"/>
  <c r="E82" i="10" s="1"/>
  <c r="C82" i="10"/>
  <c r="I92" i="10"/>
  <c r="N60" i="10"/>
  <c r="I41" i="10"/>
  <c r="E41" i="10"/>
  <c r="E54" i="10" s="1"/>
  <c r="C54" i="10"/>
  <c r="I59" i="10"/>
  <c r="E59" i="10"/>
  <c r="I60" i="10"/>
  <c r="E60" i="10"/>
  <c r="I62" i="10"/>
  <c r="E62" i="10"/>
  <c r="E124" i="10"/>
  <c r="C175" i="10"/>
  <c r="I118" i="10"/>
  <c r="I106" i="10"/>
  <c r="I93" i="10"/>
  <c r="E93" i="10"/>
  <c r="I161" i="10"/>
  <c r="E161" i="10"/>
  <c r="I160" i="10"/>
  <c r="E160" i="10"/>
  <c r="I159" i="10"/>
  <c r="E159" i="10"/>
  <c r="I157" i="10"/>
  <c r="E157" i="10"/>
  <c r="E86" i="10"/>
  <c r="I86" i="10"/>
  <c r="E85" i="10"/>
  <c r="I85" i="10"/>
  <c r="C104" i="10"/>
  <c r="J15" i="3"/>
  <c r="J8"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16" i="3"/>
  <c r="M27" i="3"/>
  <c r="M32" i="3"/>
  <c r="M39" i="3"/>
  <c r="M40" i="3"/>
  <c r="M47" i="3"/>
  <c r="M48" i="3"/>
  <c r="M50" i="3"/>
  <c r="M57" i="3"/>
  <c r="M58" i="3"/>
  <c r="M65" i="3"/>
  <c r="M66" i="3"/>
  <c r="H84" i="3"/>
  <c r="H85" i="3"/>
  <c r="N92" i="3"/>
  <c r="O92" i="3"/>
  <c r="P92" i="3"/>
  <c r="Q92" i="3"/>
  <c r="R92" i="3"/>
  <c r="S92" i="3"/>
  <c r="T92" i="3"/>
  <c r="L92" i="3"/>
  <c r="I175" i="10" l="1"/>
  <c r="I176" i="10"/>
  <c r="N192" i="10"/>
  <c r="N194" i="10" s="1"/>
  <c r="I69" i="10"/>
  <c r="I56" i="10"/>
  <c r="I55" i="10"/>
  <c r="I54" i="10"/>
  <c r="I40" i="10"/>
  <c r="I70" i="10"/>
  <c r="E69" i="10"/>
  <c r="I83" i="10"/>
  <c r="I71" i="10"/>
  <c r="I82" i="10"/>
  <c r="E175" i="10"/>
  <c r="I120" i="10"/>
  <c r="E104" i="10"/>
  <c r="I105" i="10"/>
  <c r="I104" i="10"/>
  <c r="I84" i="10"/>
  <c r="C192" i="10"/>
  <c r="M92" i="3"/>
  <c r="M94" i="3" s="1"/>
  <c r="H56" i="3"/>
  <c r="H57" i="3"/>
  <c r="H55" i="3"/>
  <c r="H54" i="3"/>
  <c r="H63" i="3"/>
  <c r="H62" i="3"/>
  <c r="H58" i="3"/>
  <c r="H59" i="3"/>
  <c r="H60" i="3"/>
  <c r="H61" i="3"/>
  <c r="H47" i="3"/>
  <c r="F58" i="3"/>
  <c r="G58" i="3"/>
  <c r="F59" i="3"/>
  <c r="G59" i="3"/>
  <c r="F60" i="3"/>
  <c r="G60" i="3"/>
  <c r="F61" i="3"/>
  <c r="G61" i="3"/>
  <c r="G57" i="3"/>
  <c r="F57" i="3"/>
  <c r="C57" i="3"/>
  <c r="D57" i="3" s="1"/>
  <c r="C58" i="3"/>
  <c r="D58" i="3" s="1"/>
  <c r="D59" i="3"/>
  <c r="C60" i="3"/>
  <c r="D60" i="3" s="1"/>
  <c r="C61" i="3"/>
  <c r="D61" i="3" s="1"/>
  <c r="D47" i="3"/>
  <c r="B62" i="3"/>
  <c r="B92" i="3" s="1"/>
  <c r="E192" i="10" l="1"/>
  <c r="D62" i="3"/>
  <c r="B29" i="1"/>
  <c r="H48" i="3" l="1"/>
  <c r="H49" i="3"/>
  <c r="H50" i="3"/>
  <c r="H51" i="3"/>
  <c r="H52" i="3"/>
  <c r="H53" i="3"/>
  <c r="H45" i="3"/>
  <c r="H44" i="3"/>
  <c r="H40" i="3"/>
  <c r="H41" i="3"/>
  <c r="H42" i="3"/>
  <c r="H43" i="3"/>
  <c r="H39" i="3"/>
  <c r="H37" i="3"/>
  <c r="H36" i="3"/>
  <c r="H29" i="3"/>
  <c r="H16" i="3"/>
  <c r="H30" i="3"/>
  <c r="H25" i="3"/>
  <c r="F26" i="3" l="1"/>
  <c r="G26" i="3"/>
  <c r="H66" i="3"/>
  <c r="H67" i="3"/>
  <c r="H68" i="3"/>
  <c r="H69" i="3"/>
  <c r="H70" i="3"/>
  <c r="H71" i="3"/>
  <c r="H72" i="3"/>
  <c r="H73" i="3"/>
  <c r="H74" i="3"/>
  <c r="H75" i="3"/>
  <c r="H76" i="3"/>
  <c r="H77" i="3"/>
  <c r="H78" i="3"/>
  <c r="H79" i="3"/>
  <c r="H80" i="3"/>
  <c r="H81" i="3"/>
  <c r="H82" i="3"/>
  <c r="H65" i="3"/>
  <c r="H64" i="3"/>
  <c r="H46" i="3"/>
  <c r="G40" i="3"/>
  <c r="G41" i="3"/>
  <c r="G42" i="3"/>
  <c r="G43" i="3"/>
  <c r="G39" i="3"/>
  <c r="F40" i="3"/>
  <c r="F41" i="3"/>
  <c r="F42" i="3"/>
  <c r="F43" i="3"/>
  <c r="F39" i="3"/>
  <c r="C40" i="3"/>
  <c r="D40" i="3" s="1"/>
  <c r="C41" i="3"/>
  <c r="D41" i="3" s="1"/>
  <c r="C42" i="3"/>
  <c r="D42" i="3" s="1"/>
  <c r="C43" i="3"/>
  <c r="D43" i="3" s="1"/>
  <c r="C39" i="3"/>
  <c r="D39" i="3" s="1"/>
  <c r="G47" i="3"/>
  <c r="G48" i="3"/>
  <c r="G49" i="3"/>
  <c r="G50" i="3"/>
  <c r="G51" i="3"/>
  <c r="G52" i="3"/>
  <c r="F47" i="3"/>
  <c r="F48" i="3"/>
  <c r="F49" i="3"/>
  <c r="F50" i="3"/>
  <c r="F51" i="3"/>
  <c r="F52" i="3"/>
  <c r="C48" i="3"/>
  <c r="D48" i="3" s="1"/>
  <c r="C49" i="3"/>
  <c r="D49" i="3" s="1"/>
  <c r="C50" i="3"/>
  <c r="D50" i="3" s="1"/>
  <c r="C51" i="3"/>
  <c r="D51" i="3" s="1"/>
  <c r="C52" i="3"/>
  <c r="C53" i="3"/>
  <c r="H38" i="3"/>
  <c r="H26" i="3"/>
  <c r="H31" i="3"/>
  <c r="H32" i="3"/>
  <c r="F32" i="3"/>
  <c r="G32" i="3"/>
  <c r="C32" i="3"/>
  <c r="C33" i="3"/>
  <c r="D33" i="3" s="1"/>
  <c r="C26" i="3"/>
  <c r="D26" i="3" s="1"/>
  <c r="H17" i="3"/>
  <c r="H18" i="3"/>
  <c r="H19" i="3"/>
  <c r="H20" i="3"/>
  <c r="H21" i="3"/>
  <c r="H22" i="3"/>
  <c r="H23" i="3"/>
  <c r="H24" i="3"/>
  <c r="H27" i="3"/>
  <c r="H28" i="3"/>
  <c r="H33" i="3"/>
  <c r="H34" i="3"/>
  <c r="H35" i="3"/>
  <c r="H83" i="3"/>
  <c r="H86" i="3"/>
  <c r="H87" i="3"/>
  <c r="H88" i="3"/>
  <c r="H89" i="3"/>
  <c r="H90" i="3"/>
  <c r="G44" i="3"/>
  <c r="D38" i="3"/>
  <c r="D32" i="3" l="1"/>
  <c r="D44" i="3"/>
  <c r="G53" i="3"/>
  <c r="F53" i="3"/>
  <c r="G34" i="3"/>
  <c r="G35" i="3"/>
  <c r="G33" i="3"/>
  <c r="G28" i="3"/>
  <c r="G27" i="3"/>
  <c r="F28" i="3"/>
  <c r="B12" i="5" l="1"/>
  <c r="B13" i="5"/>
  <c r="B14" i="5"/>
  <c r="B15" i="5"/>
  <c r="B16" i="5"/>
  <c r="B17" i="5"/>
  <c r="B19" i="5"/>
  <c r="B20" i="5"/>
  <c r="B21" i="5"/>
  <c r="B22" i="5"/>
  <c r="B24" i="5"/>
  <c r="B25" i="5"/>
  <c r="B26" i="5"/>
  <c r="B27" i="5"/>
  <c r="B28" i="5"/>
  <c r="B30" i="5"/>
  <c r="B31" i="5"/>
  <c r="B32" i="5"/>
  <c r="B33" i="5"/>
  <c r="B34" i="5"/>
  <c r="B35" i="5"/>
  <c r="B36" i="5"/>
  <c r="B37" i="5"/>
  <c r="B38" i="5"/>
  <c r="B40" i="5"/>
  <c r="B41" i="5"/>
  <c r="B42" i="5"/>
  <c r="B43" i="5"/>
  <c r="B44" i="5"/>
  <c r="B45" i="5"/>
  <c r="B46" i="5"/>
  <c r="B47" i="5"/>
  <c r="B48" i="5"/>
  <c r="B49" i="5"/>
  <c r="B50" i="5"/>
  <c r="B51" i="5"/>
  <c r="B52" i="5"/>
  <c r="B53" i="5"/>
  <c r="B54" i="5"/>
  <c r="B55" i="5"/>
  <c r="B56" i="5"/>
  <c r="B57" i="5"/>
  <c r="B58" i="5"/>
  <c r="B59" i="5"/>
  <c r="B61" i="5"/>
  <c r="B62" i="5"/>
  <c r="B63" i="5"/>
  <c r="B64" i="5"/>
  <c r="B65" i="5"/>
  <c r="B67" i="5"/>
  <c r="B68" i="5"/>
  <c r="B11" i="5"/>
  <c r="A12" i="5"/>
  <c r="C12" i="5" s="1"/>
  <c r="A13" i="5"/>
  <c r="C13" i="5" s="1"/>
  <c r="A14" i="5"/>
  <c r="C14" i="5" s="1"/>
  <c r="A15" i="5"/>
  <c r="C15" i="5" s="1"/>
  <c r="A16" i="5"/>
  <c r="C16" i="5" s="1"/>
  <c r="A17" i="5"/>
  <c r="C17" i="5" s="1"/>
  <c r="A18" i="5"/>
  <c r="C18" i="5" s="1"/>
  <c r="A19" i="5"/>
  <c r="C19" i="5" s="1"/>
  <c r="A20" i="5"/>
  <c r="A21" i="5"/>
  <c r="C21" i="5" s="1"/>
  <c r="A22" i="5"/>
  <c r="C22" i="5" s="1"/>
  <c r="A23" i="5"/>
  <c r="C23" i="5" s="1"/>
  <c r="A24" i="5"/>
  <c r="C24" i="5" s="1"/>
  <c r="A25" i="5"/>
  <c r="C25" i="5" s="1"/>
  <c r="A26" i="5"/>
  <c r="C26" i="5" s="1"/>
  <c r="A27" i="5"/>
  <c r="C27" i="5" s="1"/>
  <c r="A28" i="5"/>
  <c r="C28" i="5" s="1"/>
  <c r="A29" i="5"/>
  <c r="C29" i="5" s="1"/>
  <c r="A30" i="5"/>
  <c r="C30" i="5" s="1"/>
  <c r="A31" i="5"/>
  <c r="C31" i="5" s="1"/>
  <c r="A32" i="5"/>
  <c r="C32" i="5" s="1"/>
  <c r="A33" i="5"/>
  <c r="C33" i="5" s="1"/>
  <c r="A34" i="5"/>
  <c r="C34" i="5" s="1"/>
  <c r="A35" i="5"/>
  <c r="C35" i="5" s="1"/>
  <c r="A36" i="5"/>
  <c r="C36" i="5" s="1"/>
  <c r="A37" i="5"/>
  <c r="C37" i="5" s="1"/>
  <c r="A38" i="5"/>
  <c r="C38" i="5" s="1"/>
  <c r="A39" i="5"/>
  <c r="C39" i="5" s="1"/>
  <c r="A40" i="5"/>
  <c r="C40" i="5" s="1"/>
  <c r="A41" i="5"/>
  <c r="C41" i="5" s="1"/>
  <c r="A42" i="5"/>
  <c r="C42" i="5" s="1"/>
  <c r="A43" i="5"/>
  <c r="C43" i="5" s="1"/>
  <c r="A44" i="5"/>
  <c r="C44" i="5" s="1"/>
  <c r="A45" i="5"/>
  <c r="C45" i="5" s="1"/>
  <c r="A46" i="5"/>
  <c r="C46" i="5" s="1"/>
  <c r="A47" i="5"/>
  <c r="C47" i="5" s="1"/>
  <c r="A48" i="5"/>
  <c r="C48" i="5" s="1"/>
  <c r="A49" i="5"/>
  <c r="C49" i="5" s="1"/>
  <c r="A50" i="5"/>
  <c r="C50" i="5" s="1"/>
  <c r="A51" i="5"/>
  <c r="C51" i="5" s="1"/>
  <c r="A52" i="5"/>
  <c r="C52" i="5" s="1"/>
  <c r="A53" i="5"/>
  <c r="C53" i="5" s="1"/>
  <c r="A54" i="5"/>
  <c r="C54" i="5" s="1"/>
  <c r="A55" i="5"/>
  <c r="C55" i="5" s="1"/>
  <c r="A56" i="5"/>
  <c r="C56" i="5" s="1"/>
  <c r="A57" i="5"/>
  <c r="C57" i="5" s="1"/>
  <c r="A58" i="5"/>
  <c r="C58" i="5" s="1"/>
  <c r="A59" i="5"/>
  <c r="C59" i="5" s="1"/>
  <c r="A60" i="5"/>
  <c r="C60" i="5" s="1"/>
  <c r="D60" i="5" s="1"/>
  <c r="E60" i="5" s="1"/>
  <c r="A61" i="5"/>
  <c r="C61" i="5" s="1"/>
  <c r="D61" i="5" s="1"/>
  <c r="E61" i="5" s="1"/>
  <c r="A62" i="5"/>
  <c r="C62" i="5" s="1"/>
  <c r="D62" i="5" s="1"/>
  <c r="E62" i="5" s="1"/>
  <c r="A63" i="5"/>
  <c r="C63" i="5" s="1"/>
  <c r="D63" i="5" s="1"/>
  <c r="E63" i="5" s="1"/>
  <c r="A64" i="5"/>
  <c r="C64" i="5" s="1"/>
  <c r="D64" i="5" s="1"/>
  <c r="E64" i="5" s="1"/>
  <c r="A65" i="5"/>
  <c r="C65" i="5" s="1"/>
  <c r="D65" i="5" s="1"/>
  <c r="E65" i="5" s="1"/>
  <c r="A66" i="5"/>
  <c r="C66" i="5" s="1"/>
  <c r="D66" i="5" s="1"/>
  <c r="E66" i="5" s="1"/>
  <c r="A67" i="5"/>
  <c r="C67" i="5" s="1"/>
  <c r="D67" i="5" s="1"/>
  <c r="E67" i="5" s="1"/>
  <c r="A68" i="5"/>
  <c r="C68" i="5" s="1"/>
  <c r="D68" i="5" s="1"/>
  <c r="E68" i="5" s="1"/>
  <c r="A69" i="5"/>
  <c r="C69" i="5" s="1"/>
  <c r="D69" i="5" s="1"/>
  <c r="E69" i="5" s="1"/>
  <c r="A11" i="5"/>
  <c r="C11" i="5" s="1"/>
  <c r="G23" i="3"/>
  <c r="G29" i="3"/>
  <c r="G30" i="3"/>
  <c r="G36" i="3"/>
  <c r="G54" i="3"/>
  <c r="G63" i="3"/>
  <c r="F34" i="3"/>
  <c r="F35" i="3"/>
  <c r="F33" i="3"/>
  <c r="F27" i="3"/>
  <c r="D52" i="3"/>
  <c r="C34" i="3"/>
  <c r="C35" i="3"/>
  <c r="D35" i="3" s="1"/>
  <c r="C28" i="3"/>
  <c r="D28" i="3" s="1"/>
  <c r="C27" i="3"/>
  <c r="D27" i="3" s="1"/>
  <c r="D29" i="3" l="1"/>
  <c r="D34" i="3"/>
  <c r="D36" i="3" s="1"/>
  <c r="C20" i="5"/>
  <c r="D20" i="5" s="1"/>
  <c r="E20" i="5" s="1"/>
  <c r="D31" i="5"/>
  <c r="E31" i="5" s="1"/>
  <c r="D41" i="5"/>
  <c r="E41" i="5" s="1"/>
  <c r="D25" i="5"/>
  <c r="E25" i="5" s="1"/>
  <c r="D38" i="5"/>
  <c r="E38" i="5" s="1"/>
  <c r="D21" i="5"/>
  <c r="E21" i="5" s="1"/>
  <c r="D12" i="5"/>
  <c r="E12" i="5" s="1"/>
  <c r="B23" i="5"/>
  <c r="B2" i="5" l="1"/>
  <c r="H2" i="5" s="1"/>
  <c r="H4" i="5" s="1"/>
  <c r="B10" i="5" s="1"/>
  <c r="B1" i="5"/>
  <c r="B4" i="5"/>
  <c r="D16" i="3"/>
  <c r="D23" i="3" s="1"/>
  <c r="D65" i="3" l="1"/>
  <c r="D66" i="3"/>
  <c r="D67" i="3"/>
  <c r="D68" i="3"/>
  <c r="D69" i="3"/>
  <c r="D70" i="3"/>
  <c r="D71" i="3"/>
  <c r="D72" i="3"/>
  <c r="D73" i="3"/>
  <c r="D74" i="3"/>
  <c r="D75" i="3"/>
  <c r="D76" i="3"/>
  <c r="D77" i="3"/>
  <c r="D78" i="3"/>
  <c r="D79" i="3"/>
  <c r="D80" i="3"/>
  <c r="D81" i="3"/>
  <c r="D82" i="3"/>
  <c r="D53" i="3"/>
  <c r="H15" i="3"/>
  <c r="B66" i="5"/>
  <c r="B60" i="5"/>
  <c r="B29" i="5"/>
  <c r="D63" i="3"/>
  <c r="D64" i="3"/>
  <c r="D30" i="3"/>
  <c r="D31" i="3"/>
  <c r="D46" i="3"/>
  <c r="D84" i="3"/>
  <c r="D85" i="3"/>
  <c r="D86" i="3"/>
  <c r="D87" i="3"/>
  <c r="B18" i="1"/>
  <c r="B39" i="5" l="1"/>
  <c r="B18" i="5"/>
  <c r="D89" i="3"/>
  <c r="D83" i="3"/>
  <c r="D54" i="3"/>
  <c r="B23" i="1"/>
  <c r="B20" i="1"/>
  <c r="B25" i="1" s="1"/>
  <c r="C18" i="1"/>
  <c r="B19" i="1"/>
  <c r="D92" i="3" l="1"/>
  <c r="B6" i="5"/>
  <c r="B5" i="5" s="1"/>
  <c r="D14" i="5" s="1"/>
  <c r="E14" i="5" s="1"/>
  <c r="B69" i="5"/>
  <c r="D28" i="5"/>
  <c r="E28" i="5" s="1"/>
  <c r="D57" i="5"/>
  <c r="E57" i="5" s="1"/>
  <c r="D56" i="5"/>
  <c r="E56" i="5" s="1"/>
  <c r="D29" i="5"/>
  <c r="E29" i="5" s="1"/>
  <c r="D18" i="5"/>
  <c r="E18" i="5" s="1"/>
  <c r="D40" i="5"/>
  <c r="E40" i="5" s="1"/>
  <c r="D27" i="5"/>
  <c r="E27" i="5" s="1"/>
  <c r="D19" i="5"/>
  <c r="E19" i="5" s="1"/>
  <c r="D58" i="5"/>
  <c r="E58" i="5" s="1"/>
  <c r="D54" i="5"/>
  <c r="E54" i="5" s="1"/>
  <c r="D53" i="5"/>
  <c r="E53" i="5" s="1"/>
  <c r="D30" i="5"/>
  <c r="E30" i="5" s="1"/>
  <c r="D16" i="5"/>
  <c r="E16" i="5" s="1"/>
  <c r="D22" i="5"/>
  <c r="E22" i="5" s="1"/>
  <c r="D26" i="5"/>
  <c r="E26" i="5" s="1"/>
  <c r="D24" i="5"/>
  <c r="E24" i="5" s="1"/>
  <c r="D39" i="5"/>
  <c r="E39" i="5" s="1"/>
  <c r="D23" i="5"/>
  <c r="E23" i="5" s="1"/>
  <c r="D17" i="5"/>
  <c r="E17" i="5" s="1"/>
  <c r="B24" i="1"/>
  <c r="C19" i="1"/>
  <c r="C20" i="1"/>
  <c r="D55" i="5" l="1"/>
  <c r="E55" i="5" s="1"/>
  <c r="D51" i="5"/>
  <c r="E51" i="5" s="1"/>
  <c r="D52" i="5"/>
  <c r="E52" i="5" s="1"/>
  <c r="D32" i="5"/>
  <c r="E32" i="5" s="1"/>
  <c r="D59" i="5"/>
  <c r="E59" i="5" s="1"/>
  <c r="D15" i="5"/>
  <c r="E15" i="5" s="1"/>
  <c r="D10" i="5"/>
  <c r="D13" i="5"/>
  <c r="E13" i="5" s="1"/>
  <c r="D43" i="5"/>
  <c r="E43" i="5" s="1"/>
  <c r="D42" i="5"/>
  <c r="E42" i="5" s="1"/>
  <c r="D46" i="5"/>
  <c r="E46" i="5" s="1"/>
  <c r="D11" i="5"/>
  <c r="D36" i="5"/>
  <c r="E36" i="5" s="1"/>
  <c r="D44" i="5"/>
  <c r="E44" i="5" s="1"/>
  <c r="D37" i="5"/>
  <c r="E37" i="5" s="1"/>
  <c r="D48" i="5"/>
  <c r="E48" i="5" s="1"/>
  <c r="D45" i="5"/>
  <c r="E45" i="5" s="1"/>
  <c r="D49" i="5"/>
  <c r="E49" i="5" s="1"/>
  <c r="D50" i="5"/>
  <c r="E50" i="5" s="1"/>
  <c r="D47" i="5"/>
  <c r="E47" i="5" s="1"/>
  <c r="D33" i="5"/>
  <c r="E33" i="5" s="1"/>
  <c r="D34" i="5"/>
  <c r="E34" i="5" s="1"/>
  <c r="D35" i="5"/>
  <c r="E35" i="5" s="1"/>
  <c r="I2" i="5"/>
  <c r="I4" i="5"/>
  <c r="D71" i="5" l="1"/>
  <c r="E11" i="5"/>
  <c r="E62" i="7"/>
  <c r="E6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tc={EE5DCB02-6F1E-2E48-965F-0428D834F7ED}</author>
    <author>tc={8067DED1-2F56-7841-9E39-87DAB5F94004}</author>
    <author>Leilani Shortt</author>
    <author>tc={C1159901-2867-054E-850E-C2254A7D4D2A}</author>
    <author>London Chamberlain</author>
  </authors>
  <commentList>
    <comment ref="B105" authorId="0" shapeId="0" xr:uid="{EE5DCB02-6F1E-2E48-965F-0428D834F7ED}">
      <text>
        <t>[Threaded comment]
Your version of Excel allows you to read this threaded comment; however, any edits to it will get removed if the file is opened in a newer version of Excel. Learn more: https://go.microsoft.com/fwlink/?linkid=870924
Comment:
    Should we keep this sleeve?</t>
      </text>
    </comment>
    <comment ref="B133" authorId="1" shapeId="0" xr:uid="{8067DED1-2F56-7841-9E39-87DAB5F94004}">
      <text>
        <t>[Threaded comment]
Your version of Excel allows you to read this threaded comment; however, any edits to it will get removed if the file is opened in a newer version of Excel. Learn more: https://go.microsoft.com/fwlink/?linkid=870924
Comment:
    Opportunistic sleeve may need to be more manually enterred or edit-friendly</t>
      </text>
    </comment>
    <comment ref="B138" authorId="2" shapeId="0" xr:uid="{03D36E2F-8B03-0B4C-8533-49123CB777FF}">
      <text>
        <r>
          <rPr>
            <sz val="12"/>
            <color rgb="FF000000"/>
            <rFont val="Calibri"/>
            <family val="2"/>
          </rPr>
          <t xml:space="preserve">Leilani Shortt:
</t>
        </r>
        <r>
          <rPr>
            <sz val="12"/>
            <color rgb="FF000000"/>
            <rFont val="Calibri"/>
            <family val="2"/>
          </rPr>
          <t>If account value is less than $50k, only include CRWD and AMD out of the 4 individual stocks</t>
        </r>
      </text>
    </comment>
    <comment ref="B139" authorId="3" shapeId="0" xr:uid="{C1159901-2867-054E-850E-C2254A7D4D2A}">
      <text>
        <t>[Threaded comment]
Your version of Excel allows you to read this threaded comment; however, any edits to it will get removed if the file is opened in a newer version of Excel. Learn more: https://go.microsoft.com/fwlink/?linkid=870924
Comment:
    How do I represent REITS, BDC, and Misc. on the Investment Proposal sheet?
Reply:
    Idea is that if there’s no simple way to represent it, we can create a section below this one to input final remaining dollars into any asset listed in the asset class tables.</t>
      </text>
    </comment>
    <comment ref="B140" authorId="4" shapeId="0" xr:uid="{BF988769-F05A-A04B-86D0-C1F59509F383}">
      <text>
        <r>
          <rPr>
            <b/>
            <sz val="10"/>
            <color rgb="FF000000"/>
            <rFont val="Tahoma"/>
            <family val="2"/>
          </rPr>
          <t>London Chamberlain:</t>
        </r>
        <r>
          <rPr>
            <sz val="10"/>
            <color rgb="FF000000"/>
            <rFont val="Tahoma"/>
            <family val="2"/>
          </rPr>
          <t xml:space="preserve">
</t>
        </r>
        <r>
          <rPr>
            <sz val="10"/>
            <color rgb="FF000000"/>
            <rFont val="Tahoma"/>
            <family val="2"/>
          </rPr>
          <t xml:space="preserve">
</t>
        </r>
        <r>
          <rPr>
            <sz val="10"/>
            <color rgb="FF000000"/>
            <rFont val="Tahoma"/>
            <family val="2"/>
          </rPr>
          <t xml:space="preserve">REITS, BDC, and Misc do not show up on the investment proposal. 
</t>
        </r>
        <r>
          <rPr>
            <sz val="10"/>
            <color rgb="FF000000"/>
            <rFont val="Tahoma"/>
            <family val="2"/>
          </rPr>
          <t xml:space="preserve">
</t>
        </r>
        <r>
          <rPr>
            <sz val="10"/>
            <color rgb="FF000000"/>
            <rFont val="Tahoma"/>
            <family val="2"/>
          </rPr>
          <t>You will have to manually add their amounts calculated on the right in the proper investments of your choosing below in Section 4.</t>
        </r>
      </text>
    </comment>
    <comment ref="E150" authorId="4" shapeId="0" xr:uid="{D6A6D1CA-9CEE-234A-A20F-D831CB2C6054}">
      <text>
        <r>
          <rPr>
            <b/>
            <sz val="10"/>
            <color rgb="FF000000"/>
            <rFont val="Tahoma"/>
            <family val="2"/>
          </rPr>
          <t>London Chamberlain:</t>
        </r>
        <r>
          <rPr>
            <sz val="10"/>
            <color rgb="FF000000"/>
            <rFont val="Tahoma"/>
            <family val="2"/>
          </rPr>
          <t xml:space="preserve">
</t>
        </r>
        <r>
          <rPr>
            <sz val="10"/>
            <color rgb="FF000000"/>
            <rFont val="Tahoma"/>
            <family val="2"/>
          </rPr>
          <t xml:space="preserve">
</t>
        </r>
        <r>
          <rPr>
            <sz val="10"/>
            <color rgb="FF000000"/>
            <rFont val="Tahoma"/>
            <family val="2"/>
          </rPr>
          <t xml:space="preserve">This column allows users to replace the amount in the "Sum" column with a new amount in this column. 
</t>
        </r>
        <r>
          <rPr>
            <sz val="10"/>
            <color rgb="FF000000"/>
            <rFont val="Tahoma"/>
            <family val="2"/>
          </rPr>
          <t xml:space="preserve">
</t>
        </r>
        <r>
          <rPr>
            <sz val="10"/>
            <color rgb="FF000000"/>
            <rFont val="Tahoma"/>
            <family val="2"/>
          </rPr>
          <t xml:space="preserve">Some of these investments are not in investment sleeves, which is why this feature was created.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Leilani Shortt</author>
  </authors>
  <commentList>
    <comment ref="E42" authorId="0" shapeId="0" xr:uid="{16FCC729-B70C-8D44-B1CA-A07E54233223}">
      <text>
        <r>
          <rPr>
            <sz val="12"/>
            <color rgb="FF000000"/>
            <rFont val="Calibri"/>
            <family val="2"/>
          </rPr>
          <t xml:space="preserve">Leilani Shortt:
</t>
        </r>
        <r>
          <rPr>
            <sz val="12"/>
            <color rgb="FF000000"/>
            <rFont val="Calibri"/>
            <family val="2"/>
          </rPr>
          <t>If account value is less than $50k, only include CRWD and AMD out of the 4 individual stocks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<sst xmlns="http://schemas.openxmlformats.org/spreadsheetml/2006/main" count="1842" uniqueCount="759">
  <si>
    <t>Client Name and Age</t>
  </si>
  <si>
    <t>First Name</t>
  </si>
  <si>
    <t>London</t>
  </si>
  <si>
    <t>Last Name</t>
  </si>
  <si>
    <t>Chamberlain</t>
  </si>
  <si>
    <t>DOB</t>
  </si>
  <si>
    <t>First Name Spouse</t>
  </si>
  <si>
    <t>Last Name Spouse</t>
  </si>
  <si>
    <t>Client Financials</t>
  </si>
  <si>
    <t>Client Age</t>
  </si>
  <si>
    <t>Client Income</t>
  </si>
  <si>
    <t>Client Net Worth Excl. Residence</t>
  </si>
  <si>
    <t>Advisory Account Balance</t>
  </si>
  <si>
    <t>Total Held Alternatives</t>
  </si>
  <si>
    <t>Total Held Interval Funds</t>
  </si>
  <si>
    <t>Alternative %</t>
  </si>
  <si>
    <t xml:space="preserve">Total Alternatives + Interval Funds </t>
  </si>
  <si>
    <t>Total Alternatives</t>
  </si>
  <si>
    <t>Advisory Account</t>
  </si>
  <si>
    <t>Additional Investment Amounts</t>
  </si>
  <si>
    <t>Max Alternatives + Interval Funds</t>
  </si>
  <si>
    <t>Max Alternatives</t>
  </si>
  <si>
    <t>Max Advisory Account</t>
  </si>
  <si>
    <t xml:space="preserve">Advisor </t>
  </si>
  <si>
    <t>Bill Fox, CWS® CLU® ChFC® and Josh Renfro, CWS®</t>
  </si>
  <si>
    <t>Proposal Date</t>
  </si>
  <si>
    <t>Labels: Client Name, Acct Type (A for Advisory or B for Brokerage)</t>
  </si>
  <si>
    <t>Client 1, Indv (B)</t>
  </si>
  <si>
    <t>Client 2, Indv (A)</t>
  </si>
  <si>
    <t>Client 2, IRA (A)</t>
  </si>
  <si>
    <t>Client 2, Roth (B)</t>
  </si>
  <si>
    <t>Client 1 &amp; 2, JT (B)</t>
  </si>
  <si>
    <t>Investment</t>
  </si>
  <si>
    <t>Final Amount</t>
  </si>
  <si>
    <t>Amount</t>
  </si>
  <si>
    <t>Distribution Rate*</t>
  </si>
  <si>
    <t>Income</t>
  </si>
  <si>
    <t>Liquidity</t>
  </si>
  <si>
    <t>Risk Expectation</t>
  </si>
  <si>
    <t>REAL ESTATE</t>
  </si>
  <si>
    <t>Total</t>
  </si>
  <si>
    <t>PRIVATE LENDING</t>
  </si>
  <si>
    <t>PRIVATE EQUITY</t>
  </si>
  <si>
    <t>NATURAL RESOURCES</t>
  </si>
  <si>
    <t>ABSOLUTE RETURN</t>
  </si>
  <si>
    <t>FIXED INCOME</t>
  </si>
  <si>
    <t>PUBLIC EQUITY</t>
  </si>
  <si>
    <t>OTHER</t>
  </si>
  <si>
    <t xml:space="preserve">Total </t>
  </si>
  <si>
    <t>* Disclosure: Distribution rate percentages are not guaranteed and are subject to change.</t>
  </si>
  <si>
    <t>Total - All Accounts</t>
  </si>
  <si>
    <r>
      <t xml:space="preserve">Office: (512) 327-1000 ● Fax: (888) 389-6480 ● </t>
    </r>
    <r>
      <rPr>
        <u/>
        <sz val="12"/>
        <color rgb="FF0070C0"/>
        <rFont val="Arial"/>
        <family val="2"/>
      </rPr>
      <t>www.TheFoxAlliance.com</t>
    </r>
  </si>
  <si>
    <t>5920 West William Cannon Drive, Building 7 – Suite 201, Austin, TX 78749</t>
  </si>
  <si>
    <t xml:space="preserve">Securities and advisory services offered through LPL Financial, a Registered Investment Advisor, </t>
  </si>
  <si>
    <t>Member FINRA/SIPC.  The Fox Alliance Wealth Advisors is a separate entity from LPL Financial.</t>
  </si>
  <si>
    <t>Sheet Errors:</t>
  </si>
  <si>
    <t>Inputs Key</t>
  </si>
  <si>
    <t>Primary First Name</t>
  </si>
  <si>
    <t>Entry is Required to Complete the Proposal</t>
  </si>
  <si>
    <t>Primary Last Name</t>
  </si>
  <si>
    <t>Entry is Optional</t>
  </si>
  <si>
    <t>Primary DOB</t>
  </si>
  <si>
    <t>Shows a Calculation - No Input Necessary</t>
  </si>
  <si>
    <t>Spouse First Name</t>
  </si>
  <si>
    <t>Yazmine</t>
  </si>
  <si>
    <t>Spouse Last Name</t>
  </si>
  <si>
    <t>Sandoval</t>
  </si>
  <si>
    <t>Spouse DOB</t>
  </si>
  <si>
    <t xml:space="preserve">Financial Advisor </t>
  </si>
  <si>
    <t>Laura Cooper, AIF®</t>
  </si>
  <si>
    <t>Meeting Location</t>
  </si>
  <si>
    <t>Austin</t>
  </si>
  <si>
    <t>Address @ Bottom of Proposal</t>
  </si>
  <si>
    <t>Client Liquid Net Worth</t>
  </si>
  <si>
    <t>Investment Objective</t>
  </si>
  <si>
    <t>Aggressive Growth</t>
  </si>
  <si>
    <t>Investment Proposal Amount</t>
  </si>
  <si>
    <t>Amount Reserved for Alternative Investments</t>
  </si>
  <si>
    <t>Amount Reserved for Interval Funds</t>
  </si>
  <si>
    <t>Amount Remaining for Assets in Sleeve</t>
  </si>
  <si>
    <t>Alternative Investment Information</t>
  </si>
  <si>
    <t>Amount Remaining for Alternative Investments</t>
  </si>
  <si>
    <t>Alternative Investment</t>
  </si>
  <si>
    <t>Dollar Amount to Invest</t>
  </si>
  <si>
    <t>% of LNW in Position</t>
  </si>
  <si>
    <t>% of Proposal in Position</t>
  </si>
  <si>
    <t>Total Alt Concentration (%) Limit</t>
  </si>
  <si>
    <t>Fund</t>
  </si>
  <si>
    <t>Values to Combine</t>
  </si>
  <si>
    <t>Interval Funds Information</t>
  </si>
  <si>
    <t>Interval Fund</t>
  </si>
  <si>
    <t>Investment Sleeves</t>
  </si>
  <si>
    <t>Index</t>
  </si>
  <si>
    <t>Change Sleeve Precentages?</t>
  </si>
  <si>
    <t>Position</t>
  </si>
  <si>
    <t>New %</t>
  </si>
  <si>
    <t>Amt in Position</t>
  </si>
  <si>
    <t>Index w/ SN</t>
  </si>
  <si>
    <t>Change Percentages?</t>
  </si>
  <si>
    <t xml:space="preserve">Growth </t>
  </si>
  <si>
    <t>AR Conservative</t>
  </si>
  <si>
    <t>AR Moderate</t>
  </si>
  <si>
    <t>AR Moderate/Aggressive</t>
  </si>
  <si>
    <t>Fixed Income Conservative</t>
  </si>
  <si>
    <t>Equity Income (&lt; 1M)</t>
  </si>
  <si>
    <t>Equity Income (1M+)</t>
  </si>
  <si>
    <t>Real Estate</t>
  </si>
  <si>
    <t xml:space="preserve">Opportunistic </t>
  </si>
  <si>
    <t>Growth</t>
  </si>
  <si>
    <t>ZS</t>
  </si>
  <si>
    <t>REITS</t>
  </si>
  <si>
    <t>BDC</t>
  </si>
  <si>
    <t>Misc</t>
  </si>
  <si>
    <t>Cash</t>
  </si>
  <si>
    <t>Investment Name</t>
  </si>
  <si>
    <t>Ticker *Must Match Proposal Inputs*</t>
  </si>
  <si>
    <t>Sum</t>
  </si>
  <si>
    <t>Override Investment Amount</t>
  </si>
  <si>
    <t>Key</t>
  </si>
  <si>
    <t>Never Hide</t>
  </si>
  <si>
    <t>Header</t>
  </si>
  <si>
    <t>Regular Row</t>
  </si>
  <si>
    <t>JPMorgan Hedged Equity</t>
  </si>
  <si>
    <t>Swan Defined Risk Growth Fund</t>
  </si>
  <si>
    <t xml:space="preserve">Ark Fintech Innovation ETF </t>
  </si>
  <si>
    <t>Golub Capital BDC</t>
  </si>
  <si>
    <t>JP Morgan Mid Cap Growth</t>
  </si>
  <si>
    <t>Needham Small Cap Growth</t>
  </si>
  <si>
    <t>PGIM Jennison Global Opportunities</t>
  </si>
  <si>
    <t>Zscaler Inc</t>
  </si>
  <si>
    <r>
      <t xml:space="preserve">Office: (512) 327-1000 ● Fax: (888) 389-6480 ● </t>
    </r>
    <r>
      <rPr>
        <u/>
        <sz val="18"/>
        <color rgb="FF0070C0"/>
        <rFont val="Helvetica Neue"/>
        <family val="2"/>
      </rPr>
      <t>www.TheFoxAlliance.com</t>
    </r>
  </si>
  <si>
    <t>Cell</t>
  </si>
  <si>
    <t>Name</t>
  </si>
  <si>
    <t>The quick brown fox jumps over the lazy dog.</t>
  </si>
  <si>
    <t>Required Entry</t>
  </si>
  <si>
    <t>Optional Entry</t>
  </si>
  <si>
    <t>Calculation</t>
  </si>
  <si>
    <t>To Delete from Investment Calculations</t>
  </si>
  <si>
    <t>Advisors</t>
  </si>
  <si>
    <t>Advisor(s)</t>
  </si>
  <si>
    <t>Bill Fox, CWS® CLU® ChFC® QPFC</t>
  </si>
  <si>
    <t>Bill Fox, CWS® CLU® ChFC® QPFC and Holden Fox,  CWS® AIF®</t>
  </si>
  <si>
    <t>Private Lending</t>
  </si>
  <si>
    <t>Bill Fox, CWS® CLU® ChFC® QPFC and Jim Baker, CPFA® MBA</t>
  </si>
  <si>
    <t>Private Equity</t>
  </si>
  <si>
    <t>Bill Fox, CWS® CLU® ChFC® QPFC and Josh Renfro, CWS®</t>
  </si>
  <si>
    <t>Natural Resources</t>
  </si>
  <si>
    <r>
      <t>Bill Fox, CWS® CLU® ChFC® QPFC and Max Clark, CFP</t>
    </r>
    <r>
      <rPr>
        <sz val="11"/>
        <color theme="1"/>
        <rFont val="Calibri"/>
        <family val="2"/>
      </rPr>
      <t>®</t>
    </r>
  </si>
  <si>
    <t>Absolute Return</t>
  </si>
  <si>
    <t>Josh Renfro, CWS®</t>
  </si>
  <si>
    <t>Fixed Income</t>
  </si>
  <si>
    <t>Holden Fox, CWS® AIF®</t>
  </si>
  <si>
    <t>Public Equity</t>
  </si>
  <si>
    <r>
      <t>Josh Renfro, CWS</t>
    </r>
    <r>
      <rPr>
        <sz val="11"/>
        <color theme="1"/>
        <rFont val="Calibri"/>
        <family val="2"/>
      </rPr>
      <t>® and L</t>
    </r>
    <r>
      <rPr>
        <sz val="11"/>
        <color theme="1"/>
        <rFont val="Calibri"/>
        <family val="2"/>
        <scheme val="minor"/>
      </rPr>
      <t>aura Cooper, AIF®</t>
    </r>
  </si>
  <si>
    <t>Josh Renfro, CWS® and Max Clark, CFP®</t>
  </si>
  <si>
    <t>Investment Proposal Locations</t>
  </si>
  <si>
    <t>Max Clark, CFP®</t>
  </si>
  <si>
    <t>Location</t>
  </si>
  <si>
    <t>Address (Pasted on bottom of Proposal)</t>
  </si>
  <si>
    <t>Max Clark, CFP® and Kris Hilsberg, CFP®</t>
  </si>
  <si>
    <t>Max Clark, CFP® and Jack Walker, CPA</t>
  </si>
  <si>
    <t>San Antonio</t>
  </si>
  <si>
    <t>13750 San Pedro Ave, San Antonio, TX 78232</t>
  </si>
  <si>
    <t>Max Clark, CFP® and Paul Renfro</t>
  </si>
  <si>
    <t>Round Rock</t>
  </si>
  <si>
    <t>1000 Heritage Center Circle, #134, Round Rock, TX 78664</t>
  </si>
  <si>
    <t xml:space="preserve">Paul Renfro  </t>
  </si>
  <si>
    <t>Seguin</t>
  </si>
  <si>
    <t>808 E. Court Street #160, Seguin, TX 78155</t>
  </si>
  <si>
    <t>Paul Renfro  and Jack Walker, CPA</t>
  </si>
  <si>
    <t>Carthage</t>
  </si>
  <si>
    <t>1146 W Panola St, Carthage, TX 75633</t>
  </si>
  <si>
    <t>Paul Renfro and Kris Hilsberg, CFP®</t>
  </si>
  <si>
    <t>Zoom</t>
  </si>
  <si>
    <t xml:space="preserve">Adam Weber </t>
  </si>
  <si>
    <t>Phone</t>
  </si>
  <si>
    <t>Adam Weber and Josh Renfro, CWS®</t>
  </si>
  <si>
    <t>LPL Alternative Investment Purchase Guidelines</t>
  </si>
  <si>
    <t>1. No more than 10% Liquid Net Worth (LNW) in one investment</t>
  </si>
  <si>
    <t>2. No more than 35% of account value in one investment and no more than 50% of account value in alts</t>
  </si>
  <si>
    <t>3. Total Alt concentration, determined by age, investment objective, and liquid net worth:</t>
  </si>
  <si>
    <t>LNW &lt; $999,999 &amp; Acct Holder &lt; 70</t>
  </si>
  <si>
    <t>$1M &lt; LNW &lt; $4.9M &amp; Acct Holder &lt; 70</t>
  </si>
  <si>
    <t>$5.0M &lt; LNW &amp; Acct Holder &lt; 70</t>
  </si>
  <si>
    <t>Income with Capital Preservation</t>
  </si>
  <si>
    <t>Income with Moderate Growth</t>
  </si>
  <si>
    <t>Growth with Income</t>
  </si>
  <si>
    <t>Trading</t>
  </si>
  <si>
    <t>LNW &lt; $999,999 &amp; Acct Holder &gt; 70</t>
  </si>
  <si>
    <t>$1M &lt; LNW &lt; $4.9M &amp; Acct Holder &gt; 70</t>
  </si>
  <si>
    <t>$5.0M &lt; LNW &amp; Acct Holder &gt; 70</t>
  </si>
  <si>
    <t>LPL Index Fund Purchase Guidelines</t>
  </si>
  <si>
    <t>Cannot Sort Columns or Manually Update Values</t>
  </si>
  <si>
    <t>Investment Calculations</t>
  </si>
  <si>
    <t>ACT &amp; D Name</t>
  </si>
  <si>
    <t>Ticker **Must Match Investment Proposal Inputs**</t>
  </si>
  <si>
    <t>Sum from Inputs</t>
  </si>
  <si>
    <t>Keep Row?</t>
  </si>
  <si>
    <t>GRIFX</t>
  </si>
  <si>
    <t>BREIT</t>
  </si>
  <si>
    <t>TIPWX</t>
  </si>
  <si>
    <t>JARIX</t>
  </si>
  <si>
    <t>ZHGIIX</t>
  </si>
  <si>
    <t>ZNGRIX</t>
  </si>
  <si>
    <t>Private Real Estate Opportunity</t>
  </si>
  <si>
    <t>CADUX</t>
  </si>
  <si>
    <t>CCLFX</t>
  </si>
  <si>
    <t>OCIC</t>
  </si>
  <si>
    <t>OTIC</t>
  </si>
  <si>
    <t>PCAP</t>
  </si>
  <si>
    <t>Private Lending Opportunity</t>
  </si>
  <si>
    <t>CNL</t>
  </si>
  <si>
    <t>HMEZX</t>
  </si>
  <si>
    <t>PIF</t>
  </si>
  <si>
    <t>Private Equity Opportunity</t>
  </si>
  <si>
    <t>SPRIM</t>
  </si>
  <si>
    <t>APX</t>
  </si>
  <si>
    <t>CVX</t>
  </si>
  <si>
    <t>XOM</t>
  </si>
  <si>
    <t>MLPAX</t>
  </si>
  <si>
    <t>MLPDX</t>
  </si>
  <si>
    <t>PRPZX</t>
  </si>
  <si>
    <t>KNG</t>
  </si>
  <si>
    <t>CIHEX</t>
  </si>
  <si>
    <t>JHQDX</t>
  </si>
  <si>
    <t>SDAIX</t>
  </si>
  <si>
    <t>CEDIX</t>
  </si>
  <si>
    <t>CIPTX</t>
  </si>
  <si>
    <t>JSVIX</t>
  </si>
  <si>
    <t>TSLX</t>
  </si>
  <si>
    <t>PHYZX</t>
  </si>
  <si>
    <t>HYSZX</t>
  </si>
  <si>
    <t>PONPX</t>
  </si>
  <si>
    <t>XCAPX</t>
  </si>
  <si>
    <t>AMD</t>
  </si>
  <si>
    <t>AAL</t>
  </si>
  <si>
    <t>ARCC</t>
  </si>
  <si>
    <t>ARKF</t>
  </si>
  <si>
    <t>SHSAX</t>
  </si>
  <si>
    <t>CRWD</t>
  </si>
  <si>
    <t>CCL</t>
  </si>
  <si>
    <t>LGGAX</t>
  </si>
  <si>
    <t>FSK</t>
  </si>
  <si>
    <t>RDVY</t>
  </si>
  <si>
    <t>GBDC</t>
  </si>
  <si>
    <t>HLT</t>
  </si>
  <si>
    <t>H</t>
  </si>
  <si>
    <t>JVMIX</t>
  </si>
  <si>
    <t>OPGIX</t>
  </si>
  <si>
    <t>JPM</t>
  </si>
  <si>
    <t>JEPIX</t>
  </si>
  <si>
    <t>HLGEX</t>
  </si>
  <si>
    <t>MAIN</t>
  </si>
  <si>
    <t>MAR</t>
  </si>
  <si>
    <t>MFIC</t>
  </si>
  <si>
    <t>NESIX</t>
  </si>
  <si>
    <t>NCLH</t>
  </si>
  <si>
    <t>ORCC</t>
  </si>
  <si>
    <t>PRJZX</t>
  </si>
  <si>
    <t>PDEZX</t>
  </si>
  <si>
    <t>PLYM</t>
  </si>
  <si>
    <t>RCL</t>
  </si>
  <si>
    <t>SPX</t>
  </si>
  <si>
    <t>LUV</t>
  </si>
  <si>
    <t>TSM</t>
  </si>
  <si>
    <t>UBVSX</t>
  </si>
  <si>
    <t>Positions</t>
  </si>
  <si>
    <t>%</t>
  </si>
  <si>
    <t>RDVY - First Trust Rising Div Ach</t>
  </si>
  <si>
    <t>IEFA - BR iShares Core MSCI EAFE</t>
  </si>
  <si>
    <t>NESIX - Needham Small Cap Growth</t>
  </si>
  <si>
    <t>PDEZX - PGIM Jenn Emr Mkts Eq Opp</t>
  </si>
  <si>
    <t>PRJZX - PGIM Jenn Global Opp</t>
  </si>
  <si>
    <t>JVMIX - JHancock Disc Value Mid Cap</t>
  </si>
  <si>
    <t>IJH - BR iShares Core Mid Cap</t>
  </si>
  <si>
    <t>HLGEX - JP Morgan Mid Cap Growth</t>
  </si>
  <si>
    <t>UBVSX - Undisc Managers Behavioral</t>
  </si>
  <si>
    <t>IJR - BR iShares Core Small Cap</t>
  </si>
  <si>
    <t xml:space="preserve"> </t>
  </si>
  <si>
    <t>CIHEX - Calmos Hedged Equity I</t>
  </si>
  <si>
    <t>JHQDX - JP Morgan Hedged Equity</t>
  </si>
  <si>
    <t>SDAIX - Swan Defined Risk Growth I</t>
  </si>
  <si>
    <t>HMEZX - NexPoint Merger Arbitrage</t>
  </si>
  <si>
    <t>Interval Funds</t>
  </si>
  <si>
    <t>Alternative Investments</t>
  </si>
  <si>
    <t>CEDIX - Bluebay Destra International Event Driven Credit Fund</t>
  </si>
  <si>
    <t>BREIT - Blackstone Real Estate Income Trust</t>
  </si>
  <si>
    <t>CADUX - Cion Ares Diversified Credit Fund</t>
  </si>
  <si>
    <t>OCIC - Blue Owl Credit Income Corp. Fund</t>
  </si>
  <si>
    <t>JSVIX - Easterly Equity Income Opp</t>
  </si>
  <si>
    <t>CCLFX - Cliffwater Corporate Lending Fund</t>
  </si>
  <si>
    <t>OTIC - Blue Owl Technology Income Fund</t>
  </si>
  <si>
    <t>CIPTX - CounterPoint Tactical</t>
  </si>
  <si>
    <t>GRIFX - Apollo Diversified Real Estate Fund</t>
  </si>
  <si>
    <t>ZHGIIX - Hines Global Income Trust</t>
  </si>
  <si>
    <t>PONPX - Pimco Income I2</t>
  </si>
  <si>
    <t>LCRDX - Lord Abbett Credit Opportunities Fund</t>
  </si>
  <si>
    <t>ZNGRIX - Nuveen Global Cities REIT</t>
  </si>
  <si>
    <t xml:space="preserve">HYSZX - PGIM Short Dur HY </t>
  </si>
  <si>
    <t>TIPWX - Bluerock Total Income Fund</t>
  </si>
  <si>
    <t>PCAP - Nuveen Churchill Private Capital Income Fund</t>
  </si>
  <si>
    <t>SPRIM - StepStone Private Markets Fund</t>
  </si>
  <si>
    <t>Equity Income (&lt;1M)</t>
  </si>
  <si>
    <t>PIF - Pomona Investment Fund</t>
  </si>
  <si>
    <t>KNG - FT Cboe Vest S&amp;P 500® Dividend Aristocrats Target Income ETF®</t>
  </si>
  <si>
    <t>JEPIX - JP Morgan Equity Prem Inc I</t>
  </si>
  <si>
    <t>ARCC - Ares Capital Corp</t>
  </si>
  <si>
    <t>GBDC - Golub Capital</t>
  </si>
  <si>
    <t>ORCC - Owl Rock Capital Corp</t>
  </si>
  <si>
    <t>TSLX - Sixth Street Specialty Lending</t>
  </si>
  <si>
    <t>JARIX - Easterly Global Real Estate I</t>
  </si>
  <si>
    <t>Growth:</t>
  </si>
  <si>
    <t>ARKF - Ark Fintech Innovation ETF</t>
  </si>
  <si>
    <t>PLJXX - Money Market Fund</t>
  </si>
  <si>
    <t>Individual Stocks  (ZS)</t>
  </si>
  <si>
    <t>Plain View Name</t>
  </si>
  <si>
    <t xml:space="preserve">Advanced Micro Devices </t>
  </si>
  <si>
    <t>American Airlines Group Inc</t>
  </si>
  <si>
    <t>American Airlines</t>
  </si>
  <si>
    <t>Apollo Diversified Real Estate Fund (GRIFX)</t>
  </si>
  <si>
    <t>Apollo Diversified Real Estate Fund Fund</t>
  </si>
  <si>
    <t>Ares Capital Corp</t>
  </si>
  <si>
    <t>Ares Capital Corp.</t>
  </si>
  <si>
    <r>
      <t>Ares Industrial Real Estate Income Trust</t>
    </r>
    <r>
      <rPr>
        <sz val="8"/>
        <color theme="1"/>
        <rFont val="Calibri"/>
        <family val="2"/>
        <scheme val="minor"/>
      </rPr>
      <t xml:space="preserve"> (</t>
    </r>
    <r>
      <rPr>
        <i/>
        <sz val="8"/>
        <color theme="1"/>
        <rFont val="Calibri"/>
        <family val="2"/>
        <scheme val="minor"/>
      </rPr>
      <t>Black Creek Industrial REIT IV</t>
    </r>
    <r>
      <rPr>
        <sz val="8"/>
        <color theme="1"/>
        <rFont val="Calibri"/>
        <family val="2"/>
        <scheme val="minor"/>
      </rPr>
      <t>)</t>
    </r>
  </si>
  <si>
    <t>Ark Fintech Innovation</t>
  </si>
  <si>
    <t>Blackstone REIT</t>
  </si>
  <si>
    <t>Blackstone BREIT</t>
  </si>
  <si>
    <r>
      <t xml:space="preserve">Blue Owl Capital Corp </t>
    </r>
    <r>
      <rPr>
        <sz val="8"/>
        <color theme="1"/>
        <rFont val="Calibri"/>
        <family val="2"/>
        <scheme val="minor"/>
      </rPr>
      <t>(</t>
    </r>
    <r>
      <rPr>
        <i/>
        <sz val="8"/>
        <color theme="1"/>
        <rFont val="Calibri"/>
        <family val="2"/>
        <scheme val="minor"/>
      </rPr>
      <t>formerly ORCC</t>
    </r>
    <r>
      <rPr>
        <sz val="8"/>
        <color theme="1"/>
        <rFont val="Calibri"/>
        <family val="2"/>
        <scheme val="minor"/>
      </rPr>
      <t>)</t>
    </r>
  </si>
  <si>
    <r>
      <t xml:space="preserve">Blue Owl Capital Corp II </t>
    </r>
    <r>
      <rPr>
        <i/>
        <sz val="8"/>
        <color theme="1"/>
        <rFont val="Calibri"/>
        <family val="2"/>
        <scheme val="minor"/>
      </rPr>
      <t>(Owl Rock Capital Corp II)</t>
    </r>
  </si>
  <si>
    <t>Owl Rock Capital Corp</t>
  </si>
  <si>
    <r>
      <t xml:space="preserve">Blue Owl Credit Income Corp </t>
    </r>
    <r>
      <rPr>
        <i/>
        <sz val="8"/>
        <color theme="1"/>
        <rFont val="Calibri"/>
        <family val="2"/>
        <scheme val="minor"/>
      </rPr>
      <t>(Owl Rock Core Income Corp)</t>
    </r>
  </si>
  <si>
    <t>Blue Owl Credit Income Corp</t>
  </si>
  <si>
    <t>Bluebay Destra International Event Driven Credit Fund (CEDIX)</t>
  </si>
  <si>
    <t>Bluebay Destra International Event Driven Credit Fund</t>
  </si>
  <si>
    <t>Bluerock Total Income Real Estate Fund (TIPWX)</t>
  </si>
  <si>
    <t>Bluerock Interval Fund</t>
  </si>
  <si>
    <t>Brent Crude Oil</t>
  </si>
  <si>
    <t>Calamos Hedged Equity I</t>
  </si>
  <si>
    <t>Calamos Hedged Equity</t>
  </si>
  <si>
    <t>Carnival Corp</t>
  </si>
  <si>
    <t>Cion Ares Diversified Credit Fund (CADUX)</t>
  </si>
  <si>
    <t>Cion Ares Diversified Credit</t>
  </si>
  <si>
    <t>Cliffwater Corporate Lending Fund (CCLFX)</t>
  </si>
  <si>
    <t>Cliffwater Corporate Lending Fund</t>
  </si>
  <si>
    <t>CNL Healthcare Properties REIT II</t>
  </si>
  <si>
    <t>Counterpoint Tactical Income I</t>
  </si>
  <si>
    <t>Counterpoint Tactical Income Fund</t>
  </si>
  <si>
    <t>Crowdstrike Holdings Inc</t>
  </si>
  <si>
    <t>Delta Air Lines Inc</t>
  </si>
  <si>
    <t>Delta Airlines</t>
  </si>
  <si>
    <t>Easterly Global Real Estate Fund I</t>
  </si>
  <si>
    <t>Easterly Funds Global Real Estate Fund</t>
  </si>
  <si>
    <t>Easterly Income Opportunities</t>
  </si>
  <si>
    <t>Euro Stoxx 50</t>
  </si>
  <si>
    <t>First Trust Rising Dividend Achiever ETF</t>
  </si>
  <si>
    <t>First Trust Rising Dividend Achievers</t>
  </si>
  <si>
    <t>FS Energy &amp; Power Fund</t>
  </si>
  <si>
    <t>FS KKR Capital Corp</t>
  </si>
  <si>
    <t>FS KKR Capital Corp.</t>
  </si>
  <si>
    <t>FT Cboe Vest S&amp;P 500 Dividend Aristocrats Target Income ETF</t>
  </si>
  <si>
    <t>FTSE NAREIT Composite</t>
  </si>
  <si>
    <t>Golub Capital</t>
  </si>
  <si>
    <t>Hines Global Income Trust</t>
  </si>
  <si>
    <t>Invesco Oppenheimer Global Opportunities Fund Y</t>
  </si>
  <si>
    <t>Invesco Oppenheimer Global Opportunities</t>
  </si>
  <si>
    <t>Invesco Oppenheimer MLP Steel Path Alpha Y</t>
  </si>
  <si>
    <t xml:space="preserve">Invesco Oppenheimer MLP SteelPath Alpha </t>
  </si>
  <si>
    <t>Invesco Oppenheimer MLP Steel Path Income Y</t>
  </si>
  <si>
    <t>Invesco Oppenheimer MLP SteelPath Income</t>
  </si>
  <si>
    <t>Jhancock Disciplined Value Mid Cap</t>
  </si>
  <si>
    <t>JHancock Disciplined Value Mid Cap</t>
  </si>
  <si>
    <t>JP Morgan Equity Premium Income I</t>
  </si>
  <si>
    <t>JPMorgan Equity Premium Income Fund</t>
  </si>
  <si>
    <t>JP Morgan Hedged Equity</t>
  </si>
  <si>
    <t>JP Morgan Hedged Equity 2</t>
  </si>
  <si>
    <t>Lord Abbett Credit Opportunities Fund (LCRDX)</t>
  </si>
  <si>
    <t>Lord Abbett Credit Opportunities Fund</t>
  </si>
  <si>
    <t>Main Street Capital Corp</t>
  </si>
  <si>
    <t>MidCap Financial Investment Corp</t>
  </si>
  <si>
    <r>
      <t>MSC Income Fund (</t>
    </r>
    <r>
      <rPr>
        <i/>
        <sz val="9"/>
        <color theme="1"/>
        <rFont val="Calibri"/>
        <family val="2"/>
        <scheme val="minor"/>
      </rPr>
      <t>Formerly HMS Income Fund</t>
    </r>
    <r>
      <rPr>
        <sz val="9"/>
        <color theme="1"/>
        <rFont val="Calibri"/>
        <family val="2"/>
        <scheme val="minor"/>
      </rPr>
      <t>)</t>
    </r>
  </si>
  <si>
    <t>MSCI All Country World Index</t>
  </si>
  <si>
    <t>MSCI EAFE</t>
  </si>
  <si>
    <t>MSIC Emerging Markets</t>
  </si>
  <si>
    <t>NCREIF Property Index</t>
  </si>
  <si>
    <t>Needham Small Cap Growth Institutional</t>
  </si>
  <si>
    <t>NexPoint Merger Arbitrage Fund</t>
  </si>
  <si>
    <t>Nuveen Churchill Private Capital Income Fund</t>
  </si>
  <si>
    <t>Nuveen Global Cities REIT</t>
  </si>
  <si>
    <t>PGIM Jennison Emerging Markets Equity Opportunities</t>
  </si>
  <si>
    <t>PGIM Jennsion Emerging Markets Equities Opportunity</t>
  </si>
  <si>
    <t>PGIM Jennison Global Opportunities Fund</t>
  </si>
  <si>
    <t>PGIM Jennison High Yield Z Share</t>
  </si>
  <si>
    <t>PGIM Jennison High Yield</t>
  </si>
  <si>
    <t>PGIM Jennison MLP Z Share</t>
  </si>
  <si>
    <t>PGIM Jennison MLP</t>
  </si>
  <si>
    <t>PGIM Short Duration High Yield Z Share</t>
  </si>
  <si>
    <t>PGIM Jennison Short Duration High Yield</t>
  </si>
  <si>
    <t>PIMCO Income Fund</t>
  </si>
  <si>
    <t>PIMCO Income</t>
  </si>
  <si>
    <t>Pomona</t>
  </si>
  <si>
    <t>Pomona Investment Fund</t>
  </si>
  <si>
    <t>RREEF Property Trust (DWS)</t>
  </si>
  <si>
    <t>Russell 2000</t>
  </si>
  <si>
    <t>S&amp;P 500</t>
  </si>
  <si>
    <t>S&amp;P500 Structured Note - Growth</t>
  </si>
  <si>
    <r>
      <t>Sila Realty Trust (</t>
    </r>
    <r>
      <rPr>
        <i/>
        <sz val="9"/>
        <color theme="1"/>
        <rFont val="Calibri"/>
        <family val="2"/>
        <scheme val="minor"/>
      </rPr>
      <t>Formerly Carter Validus Mission Critical REIT II</t>
    </r>
    <r>
      <rPr>
        <sz val="9"/>
        <color theme="1"/>
        <rFont val="Calibri"/>
        <family val="2"/>
        <scheme val="minor"/>
      </rPr>
      <t>)</t>
    </r>
  </si>
  <si>
    <t>Sixth Street Specialty Lending</t>
  </si>
  <si>
    <t>Starwood Real Estate Income Trust</t>
  </si>
  <si>
    <t>Starwood SREIT</t>
  </si>
  <si>
    <t>Swan Defined Risk Emerging Markets I</t>
  </si>
  <si>
    <t>Swan Defined Risk Fund Class I</t>
  </si>
  <si>
    <t>Swan Defined Risk Growth Fund I</t>
  </si>
  <si>
    <t xml:space="preserve">Taiwan Semiconductor </t>
  </si>
  <si>
    <t>Undiscovered Managers Behavioral Value</t>
  </si>
  <si>
    <t>WTI Crude</t>
  </si>
  <si>
    <t>Ticker or Category</t>
  </si>
  <si>
    <t>Yield</t>
  </si>
  <si>
    <t>Low/Mid</t>
  </si>
  <si>
    <t>Moderate</t>
  </si>
  <si>
    <t>OT</t>
  </si>
  <si>
    <t>Conservative/Moderate</t>
  </si>
  <si>
    <t>High</t>
  </si>
  <si>
    <t>Moderate/Aggressive</t>
  </si>
  <si>
    <t>Industrial Property Trust</t>
  </si>
  <si>
    <t>Low</t>
  </si>
  <si>
    <t>Sealy Industrial Partners</t>
  </si>
  <si>
    <t>Aggressive</t>
  </si>
  <si>
    <t>Strategic Storage Growth Trust II</t>
  </si>
  <si>
    <t>Strategic Storage Trust IV</t>
  </si>
  <si>
    <t>Red - Update yields manually</t>
  </si>
  <si>
    <t>Inpoint Commercial Real Estate Income</t>
  </si>
  <si>
    <t>Blue Owl Technology Income Corp</t>
  </si>
  <si>
    <t>CNL Strategic Capital</t>
  </si>
  <si>
    <t>(I share)</t>
  </si>
  <si>
    <t xml:space="preserve">Constitution Capital Ironsides Co-Investment Fund VI </t>
  </si>
  <si>
    <t>None</t>
  </si>
  <si>
    <t>Hamilton Lane Private Assets Fund</t>
  </si>
  <si>
    <t>Ironsides Co-Investment Fund</t>
  </si>
  <si>
    <t>Stepstone Private Markets Fund</t>
  </si>
  <si>
    <t>Chevron</t>
  </si>
  <si>
    <t>Exxon</t>
  </si>
  <si>
    <t>high</t>
  </si>
  <si>
    <t>MLPOX</t>
  </si>
  <si>
    <t>MLPZX</t>
  </si>
  <si>
    <t>Allianz Index Advantage</t>
  </si>
  <si>
    <t>Bluerock Preferred</t>
  </si>
  <si>
    <t>First Trust Target Outcome ETFs - Buffered</t>
  </si>
  <si>
    <t>First Trust Target Outcome ETFs - Deep Buffered </t>
  </si>
  <si>
    <t>Jackson National FIA</t>
  </si>
  <si>
    <t>Conservative</t>
  </si>
  <si>
    <t>Jackson National Perspective II</t>
  </si>
  <si>
    <t>JHEQX</t>
  </si>
  <si>
    <t>S&amp;P500 Market Linked CD</t>
  </si>
  <si>
    <t>Mid</t>
  </si>
  <si>
    <t xml:space="preserve">High </t>
  </si>
  <si>
    <t xml:space="preserve">Conservative </t>
  </si>
  <si>
    <t>Alkeon ACAP Strategic Fund</t>
  </si>
  <si>
    <t>BlackRock Health Sciences</t>
  </si>
  <si>
    <t>Bluerock Residential Growth</t>
  </si>
  <si>
    <t>ClearBridge International Growth Fund</t>
  </si>
  <si>
    <t>First Trust S&amp;P Barrier Note</t>
  </si>
  <si>
    <t>Henry James International Select</t>
  </si>
  <si>
    <t>Hilton</t>
  </si>
  <si>
    <t>Hyatt</t>
  </si>
  <si>
    <t>International Developed</t>
  </si>
  <si>
    <t xml:space="preserve">International Emerging </t>
  </si>
  <si>
    <t>OGIYX</t>
  </si>
  <si>
    <t>*Do not change yield</t>
  </si>
  <si>
    <t>JP Morgan</t>
  </si>
  <si>
    <t>Main Street Capital Corporation</t>
  </si>
  <si>
    <t>Marriott</t>
  </si>
  <si>
    <t>Norwegian Cruise Line</t>
  </si>
  <si>
    <t>Plymouth Industrial REIT</t>
  </si>
  <si>
    <t>Royal Caribbean Cruises</t>
  </si>
  <si>
    <t>Southwest Airlines</t>
  </si>
  <si>
    <t>Investment Proposal Data Gathering</t>
  </si>
  <si>
    <t>Client First Name</t>
  </si>
  <si>
    <t>Client Last Name</t>
  </si>
  <si>
    <t>Date of Birth / Age</t>
  </si>
  <si>
    <t>Total Annual Income</t>
  </si>
  <si>
    <t>$</t>
  </si>
  <si>
    <t>Total Liquid Net Worth</t>
  </si>
  <si>
    <t>Total Net Worth (Excl. of Residence)</t>
  </si>
  <si>
    <t>Client Retirement Age</t>
  </si>
  <si>
    <t>Spouse Retirement Age</t>
  </si>
  <si>
    <t>Annual Retirement Income Need (A/T)</t>
  </si>
  <si>
    <t>Annual SS, Pension or Other Ret. Income</t>
  </si>
  <si>
    <t>Risk Tolerance</t>
  </si>
  <si>
    <t>Investment Objectives (In Order)</t>
  </si>
  <si>
    <t>Time Horizon (Years)</t>
  </si>
  <si>
    <t>List the Other Items We Need to Capture Here</t>
  </si>
  <si>
    <t>•</t>
  </si>
  <si>
    <t>Number of Alts and Others</t>
  </si>
  <si>
    <t>Total Value Alts and Others</t>
  </si>
  <si>
    <t>Total OT/ALTS</t>
  </si>
  <si>
    <t>Minus Annuities</t>
  </si>
  <si>
    <t>&lt;-</t>
  </si>
  <si>
    <t>Enter Total Annuity Value Here</t>
  </si>
  <si>
    <t>Number of Tickers / Public Equity in Model</t>
  </si>
  <si>
    <t>Value OT/Locked in Model</t>
  </si>
  <si>
    <t>Total Value in Model</t>
  </si>
  <si>
    <t>Total Value of Portfolio</t>
  </si>
  <si>
    <t>Ticker</t>
  </si>
  <si>
    <t>% Allocated</t>
  </si>
  <si>
    <t>Filter</t>
  </si>
  <si>
    <t>OT/Locked</t>
  </si>
  <si>
    <t>SUM</t>
  </si>
  <si>
    <t>Traditional Investments</t>
  </si>
  <si>
    <t>Symbol</t>
  </si>
  <si>
    <t>1-Week</t>
  </si>
  <si>
    <t>1-Month</t>
  </si>
  <si>
    <t>3-Month</t>
  </si>
  <si>
    <t>YTD</t>
  </si>
  <si>
    <t>1-Year</t>
  </si>
  <si>
    <t>3-Year</t>
  </si>
  <si>
    <t>5-Year</t>
  </si>
  <si>
    <t>Value as of</t>
  </si>
  <si>
    <t>Frequency</t>
  </si>
  <si>
    <t>Notes</t>
  </si>
  <si>
    <t>How to Update</t>
  </si>
  <si>
    <t>Update Yield</t>
  </si>
  <si>
    <t>Indices</t>
  </si>
  <si>
    <t>-</t>
  </si>
  <si>
    <t>Daily</t>
  </si>
  <si>
    <t>https://www.morningstar.com/indexes/spi/spx/performance</t>
  </si>
  <si>
    <t>SX50E</t>
  </si>
  <si>
    <t>https://www.morningstar.com/etfs/xams/euea/performance</t>
  </si>
  <si>
    <t>EFA</t>
  </si>
  <si>
    <t>https://www.morningstar.com/etfs/arcx/efa/performance</t>
  </si>
  <si>
    <t>https://www.ishares.com/us/products/239623/ishares-msci-eafe-etf</t>
  </si>
  <si>
    <t>EEM</t>
  </si>
  <si>
    <t>https://www.morningstar.com/etfs/arcx/eem/performance</t>
  </si>
  <si>
    <t>ACWI</t>
  </si>
  <si>
    <t>https://www.morningstar.com/etfs/xnas/acwi/performance</t>
  </si>
  <si>
    <t>https://www.ishares.com/us/products/239600/?referrer=tickerSearch</t>
  </si>
  <si>
    <t>RUT</t>
  </si>
  <si>
    <t>https://www.morningstar.com/etfs/arcx/iwm/performance</t>
  </si>
  <si>
    <t>Average</t>
  </si>
  <si>
    <t>Oil</t>
  </si>
  <si>
    <t>BRN</t>
  </si>
  <si>
    <t>https://markets.businessinsider.com/commodities/oil-price</t>
  </si>
  <si>
    <t>WTI</t>
  </si>
  <si>
    <t>https://markets.businessinsider.com/commodities/oil-price?type=wti</t>
  </si>
  <si>
    <t>Property</t>
  </si>
  <si>
    <t>Nareit</t>
  </si>
  <si>
    <t>http://www.ftse.com/products/indices/nareit?_ga=2.244761414.25409972.1511797843-346677419.1511192767</t>
  </si>
  <si>
    <t>4Q2022</t>
  </si>
  <si>
    <t>1Q2023</t>
  </si>
  <si>
    <t>2Q2023</t>
  </si>
  <si>
    <t>3Q2023</t>
  </si>
  <si>
    <t>NPI</t>
  </si>
  <si>
    <t>Quarterly</t>
  </si>
  <si>
    <t>https://user.ncreif.org/data-products/property/</t>
  </si>
  <si>
    <t>Stocks</t>
  </si>
  <si>
    <t>https://www.morningstar.com/stocks/xnas/amd/trailing-returns</t>
  </si>
  <si>
    <t>https://www.morningstar.com/stocks/xnas/aal/trailing-returns</t>
  </si>
  <si>
    <t>https://www.morningstar.com/stocks/xnas/arcc/trailing-returns</t>
  </si>
  <si>
    <t>—</t>
  </si>
  <si>
    <t>https://www.morningstar.com/etfs/arcx/arkf/performance</t>
  </si>
  <si>
    <t>https://www.morningstar.com/stocks/xnys/ccl/trailing-returns</t>
  </si>
  <si>
    <t>https://www.morningstar.com/stocks/xnas/crwd/trailing-returns</t>
  </si>
  <si>
    <t>DAL</t>
  </si>
  <si>
    <t>https://www.morningstar.com/stocks/xnys/dal/trailing-returns</t>
  </si>
  <si>
    <t>https://www.morningstar.com/stocks/xnys/fsk/trailing-returns</t>
  </si>
  <si>
    <t>https://www.morningstar.com/etfs/bats/kng/performance</t>
  </si>
  <si>
    <t>https://www.morningstar.com/etfs/xnas/rdvy/performance</t>
  </si>
  <si>
    <t>https://www.morningstar.com/stocks/xnas/gbdc/trailing-returns</t>
  </si>
  <si>
    <t>https://www.morningstar.com/stocks/xnys/main/trailing-returns</t>
  </si>
  <si>
    <t>https://www.morningstar.com/stocks/xnas/mfic/trailing-returns</t>
  </si>
  <si>
    <t>OBDC</t>
  </si>
  <si>
    <t>https://www.morningstar.com/stocks/xnys/obdc/trailing-returns</t>
  </si>
  <si>
    <t>https://www.morningstar.com/stocks/xnys/tslx/trailing-returns</t>
  </si>
  <si>
    <t>https://www.morningstar.com/stocks/xnys/tsm/trailing-returns</t>
  </si>
  <si>
    <t>https://www.morningstar.com/stocks/xnas/zs/trailing-returns</t>
  </si>
  <si>
    <t>CPITX</t>
  </si>
  <si>
    <t>https://www.morningstar.com/funds/xnas/cpitx/performance</t>
  </si>
  <si>
    <t>https://www.morningstar.com/funds/xnas/ogiyx/performance</t>
  </si>
  <si>
    <t>https://www.morningstar.com/funds/xnas/mlpox/performance</t>
  </si>
  <si>
    <t>https://seekingalpha.com/symbol/MLPOX/dividends/scorecard?s=mlpox</t>
  </si>
  <si>
    <t>https://www.morningstar.com/funds/xnas/mlpzx/performance</t>
  </si>
  <si>
    <t>https://seekingalpha.com/symbol/MLPZX/dividends/scorecard?s=mlpzx</t>
  </si>
  <si>
    <t>https://www.morningstar.com/funds/xnas/jarix/performance</t>
  </si>
  <si>
    <t>https://seekingalpha.com/symbol/JARIX/overview?s=jarix</t>
  </si>
  <si>
    <t>http://jamesalphaadvisors.com/mutual-funds/james-alpha-global-real-estate-investments-fund/fund-literature/</t>
  </si>
  <si>
    <t>https://www.morningstar.com/funds/xnas/jsvix/performance</t>
  </si>
  <si>
    <t>https://seekingalpha.com/symbol/JSVIX/dividends/no_dividends_history</t>
  </si>
  <si>
    <t>http://jamesalphaadvisors.com/mutual-funds/james-alpha-structured-credit-value-fund/structured-credit-value-fund-literature/</t>
  </si>
  <si>
    <t>https://www.morningstar.com/funds/xnas/jvmix/performance</t>
  </si>
  <si>
    <t>https://www.morningstar.com/funds/xnas/jepix/performance</t>
  </si>
  <si>
    <t>https://www.morningstar.com/funds/xnas/hlgex/performance</t>
  </si>
  <si>
    <t xml:space="preserve">https://www.morningstar.com/funds/xnas/nesix/performance </t>
  </si>
  <si>
    <t xml:space="preserve">https://www.morningstar.com/funds/xnas/hmezx/performance </t>
  </si>
  <si>
    <t>https://www.morningstar.com/funds/xnas/phyzx/performance</t>
  </si>
  <si>
    <t>https://www.morningstar.com/funds/xnas/pdezx/performance</t>
  </si>
  <si>
    <t>https://www.morningstar.com/funds/xnas/prjzx/performance</t>
  </si>
  <si>
    <t>https://www.morningstar.com/funds/xnas/prpzx/performance</t>
  </si>
  <si>
    <t>https://www.morningstar.com/funds/xnas/hyszx/performance</t>
  </si>
  <si>
    <t>https://www.morningstar.com/funds/xnas/ponpx/performance</t>
  </si>
  <si>
    <t>https://www.morningstar.com/funds/xnas/ubvsx/performance</t>
  </si>
  <si>
    <t>Hedged Equity</t>
  </si>
  <si>
    <t>https://www.morningstar.com/funds/xnas/cihex/performance</t>
  </si>
  <si>
    <t>https://www.morningstar.com/funds/xnas/jheqx/performance</t>
  </si>
  <si>
    <t>https://www.morningstar.com/funds/xnas/jhqdx/performance</t>
  </si>
  <si>
    <t>SDFIX</t>
  </si>
  <si>
    <t>https://www.morningstar.com/funds/xnas/sdfix/performance</t>
  </si>
  <si>
    <t>https://seekingalpha.com/symbol/SDFIX/dividends/scorecard</t>
  </si>
  <si>
    <t>SDRIX</t>
  </si>
  <si>
    <t>https://www.morningstar.com/funds/xnas/sdrix/performance</t>
  </si>
  <si>
    <t>https://seekingalpha.com/symbol/SDRIX/dividends/scorecard?s=sdrix</t>
  </si>
  <si>
    <t>https://www.morningstar.com/funds/xnas/sdaix/performance</t>
  </si>
  <si>
    <t>Share Class</t>
  </si>
  <si>
    <t>NAV</t>
  </si>
  <si>
    <t>Annualized Return</t>
  </si>
  <si>
    <t xml:space="preserve">Value as of </t>
  </si>
  <si>
    <t>Date Updated</t>
  </si>
  <si>
    <t>I</t>
  </si>
  <si>
    <t>https://apollodiversifiedrealestatefund.apollo.com/performance/</t>
  </si>
  <si>
    <t xml:space="preserve">https://www.morningstar.com/cefs/xnas/grifx/total-returns </t>
  </si>
  <si>
    <t>http://www.destracapital.com/strategies/bluebay-destra-international-event-driven-credit-fund</t>
  </si>
  <si>
    <t>https://www.morningstar.com/cefs/xnas/cedix/performance</t>
  </si>
  <si>
    <t>https://bluerock.com/bluerock-total-income-plus-real-estate-fund/fund-performance/</t>
  </si>
  <si>
    <t>http://www.schwab.wallst.com/Prospect/Research/MutualFunds/Summary.asp?symbol=TIPWX</t>
  </si>
  <si>
    <t>https://www.cioninvestments.com/products/cion-ares-diversified-credit-fund/#I</t>
  </si>
  <si>
    <t>https://www.morningstar.com/cefs/xnas/cadux/performance</t>
  </si>
  <si>
    <t xml:space="preserve">I </t>
  </si>
  <si>
    <t>https://www.cliffwaterfunds.com/cclfx</t>
  </si>
  <si>
    <t>https://www.morningstar.com/cefs/xnas/cclfx/performance</t>
  </si>
  <si>
    <t xml:space="preserve">https://www.lordabbett.com/en/strategies/interval-funds/credit-opportunities-fund.html </t>
  </si>
  <si>
    <t>Illiquid Funds</t>
  </si>
  <si>
    <t>D</t>
  </si>
  <si>
    <t>Monthly</t>
  </si>
  <si>
    <t>https://www.breit.com/performance</t>
  </si>
  <si>
    <t>https://bcindustrialiv.com/investment-strategy/performance/</t>
  </si>
  <si>
    <t>https://finance.yahoo.com/quote/ZBCIIX/performance/</t>
  </si>
  <si>
    <t>https://areswmsresources.com/investment-solutions/areit/performance/</t>
  </si>
  <si>
    <t>Annually</t>
  </si>
  <si>
    <t>Closed to new investments on 11.27.2018</t>
  </si>
  <si>
    <t>https://silarealtytrust.com/</t>
  </si>
  <si>
    <t>Liquidated March 2020 w final distribution of $9.32/sh</t>
  </si>
  <si>
    <t>info@cnl.com</t>
  </si>
  <si>
    <t>Closed</t>
  </si>
  <si>
    <t>https://www.fsinvestments.com/investments/funds/fsep</t>
  </si>
  <si>
    <t>Formerly known as Hines Gobal REIT II</t>
  </si>
  <si>
    <t>https://www.hinessecurities.com/current-offerings/hgit/</t>
  </si>
  <si>
    <t>Closed to new investors on 9.30.2017</t>
  </si>
  <si>
    <t>https://www.mscincomefund.com/portfolio</t>
  </si>
  <si>
    <t xml:space="preserve">https://www.nuveen.com/gcreit/performance </t>
  </si>
  <si>
    <t>https://www.nuveen.com/pcap/performance</t>
  </si>
  <si>
    <t>https://www.blueowlproducts.com/our-reit-bdcs</t>
  </si>
  <si>
    <t>https://owlrock.com/overview-orccii/</t>
  </si>
  <si>
    <t>https://ocic.com/performance</t>
  </si>
  <si>
    <t>https://owlrockcoreincomecorp.com/performance/</t>
  </si>
  <si>
    <t xml:space="preserve">https://pomonainvestmentfund.com/page/current-performance </t>
  </si>
  <si>
    <t>https://www.rreefpropertytrust.com/Investor-Relations/Daily-NAV-and-Performance/</t>
  </si>
  <si>
    <t>https://www.starwoodnav.reit/performance/</t>
  </si>
  <si>
    <t>Heat Map Key</t>
  </si>
  <si>
    <t>&gt; 5%</t>
  </si>
  <si>
    <t>&gt; 10%</t>
  </si>
  <si>
    <t>&gt;20%</t>
  </si>
  <si>
    <t>&gt; - 5%</t>
  </si>
  <si>
    <t>&gt; -10%</t>
  </si>
  <si>
    <t>&gt; -20%</t>
  </si>
  <si>
    <t>Enter Values Here</t>
  </si>
  <si>
    <t>Calcs</t>
  </si>
  <si>
    <t>Current</t>
  </si>
  <si>
    <t>One Week</t>
  </si>
  <si>
    <t>One Month</t>
  </si>
  <si>
    <t>3 Month</t>
  </si>
  <si>
    <t>One Year</t>
  </si>
  <si>
    <t>3 Year</t>
  </si>
  <si>
    <t>5 Year</t>
  </si>
  <si>
    <t>Brent Crude</t>
  </si>
  <si>
    <t>LPL Interval Fund Purchase Guidelines</t>
  </si>
  <si>
    <t>Trade must not cause client’s concentration to exceed:</t>
  </si>
  <si>
    <t>Unlike alternative investments whose concentration limits are based on the client's liquid net worth, the NSCC interval funds household calculation is comprised of assets held in any accounts custodied at LPL that share the same SSN/TaxID, any accounts that share the same address as well as direct held positions that are linked to a LPL account.  External holdings custodied outside of LPL cannot be included in the household calculation.</t>
  </si>
  <si>
    <t>1. 35% in any individual NSCC Interval Fund investment in a SAM account at the account level.</t>
  </si>
  <si>
    <t>2. 20% of overall NSCC Interval Fund investments at the household level.</t>
  </si>
  <si>
    <t>Error Reporting</t>
  </si>
  <si>
    <t>Total Errors:</t>
  </si>
  <si>
    <t>Error Check 1</t>
  </si>
  <si>
    <t>Error Check 2</t>
  </si>
  <si>
    <t>Error Check 3</t>
  </si>
  <si>
    <t>Error Check 4</t>
  </si>
  <si>
    <t>Error Check 5</t>
  </si>
  <si>
    <t>Error Check 6</t>
  </si>
  <si>
    <t>Error Check 7</t>
  </si>
  <si>
    <t>Error Check 8</t>
  </si>
  <si>
    <t>Error Check 9</t>
  </si>
  <si>
    <t>Error Check 10</t>
  </si>
  <si>
    <t>Error Check 11</t>
  </si>
  <si>
    <t>Error Check 12</t>
  </si>
  <si>
    <t>Error Check 13</t>
  </si>
  <si>
    <t>Error Check 14</t>
  </si>
  <si>
    <t>Error Check 15</t>
  </si>
  <si>
    <t>Error Check 16</t>
  </si>
  <si>
    <t>Error Check 17</t>
  </si>
  <si>
    <t>Error Check 18</t>
  </si>
  <si>
    <t>Error Check 19</t>
  </si>
  <si>
    <t>Error Check 20</t>
  </si>
  <si>
    <t>Error Check 21</t>
  </si>
  <si>
    <t>Error Check 22</t>
  </si>
  <si>
    <t>Error Check 23</t>
  </si>
  <si>
    <t>Error Check 24</t>
  </si>
  <si>
    <t>Error Check 25</t>
  </si>
  <si>
    <t>Error Check 26</t>
  </si>
  <si>
    <t>Error Check 27</t>
  </si>
  <si>
    <t>Error Check 28</t>
  </si>
  <si>
    <t>Error Check 29</t>
  </si>
  <si>
    <t>Error Check 30</t>
  </si>
  <si>
    <t>Error Check 31</t>
  </si>
  <si>
    <t>Error Check 32</t>
  </si>
  <si>
    <t>Error Check 33</t>
  </si>
  <si>
    <t>Error Check 34</t>
  </si>
  <si>
    <t>Error Check 35</t>
  </si>
  <si>
    <t>Error Check 36</t>
  </si>
  <si>
    <t>Error Check 37</t>
  </si>
  <si>
    <t>Error Check 38</t>
  </si>
  <si>
    <t>Error Check 39</t>
  </si>
  <si>
    <t>Error Check 40</t>
  </si>
  <si>
    <t>Error Location</t>
  </si>
  <si>
    <t>Error Check</t>
  </si>
  <si>
    <t>Error?</t>
  </si>
  <si>
    <t>BRG-PC</t>
  </si>
  <si>
    <t>LCRDX</t>
  </si>
  <si>
    <t>BRG</t>
  </si>
  <si>
    <t>IDEV</t>
  </si>
  <si>
    <t>% of Total Investments for Cash</t>
  </si>
  <si>
    <t>Other</t>
  </si>
  <si>
    <t>PJLXX - Money Market Fund</t>
  </si>
  <si>
    <t>Amount Reserved for Investment Sleeves</t>
  </si>
  <si>
    <t>Index w/ Structured Note</t>
  </si>
  <si>
    <t>Client(s) Under 70?</t>
  </si>
  <si>
    <t>2. Investment Amount Information</t>
  </si>
  <si>
    <t>3. Investment Sleeves</t>
  </si>
  <si>
    <t>1. Client Information</t>
  </si>
  <si>
    <t>4. Final Proposal Amounts</t>
  </si>
  <si>
    <t>% of Amt Remaining for Sleeves in Fixed Income Conservative</t>
  </si>
  <si>
    <t>Amt In Fixed Income Conservative</t>
  </si>
  <si>
    <t>% of Amt Remaining for Sleeves in AR Moderate/Aggressive</t>
  </si>
  <si>
    <t>Amt In AR Moderate/Aggressive</t>
  </si>
  <si>
    <t>% of Amt Remaining for Sleeves in AR Moderate</t>
  </si>
  <si>
    <t>Amt In AR Moderate</t>
  </si>
  <si>
    <t>% of Amt Remaining for Sleeves in AR Conservative</t>
  </si>
  <si>
    <t>Amt In AR Conservative</t>
  </si>
  <si>
    <t>% of Amt Remaining for Sleeves in Index</t>
  </si>
  <si>
    <t>Amt In Index</t>
  </si>
  <si>
    <t>% of Amt Remaining for Sleeves in Index w/ SN</t>
  </si>
  <si>
    <t>Amt In Index w/ SN</t>
  </si>
  <si>
    <t xml:space="preserve">% of Amt Remaining for Sleeves in Growth </t>
  </si>
  <si>
    <t xml:space="preserve">Amt In Growth </t>
  </si>
  <si>
    <t>% of Amt Remaining for Sleeves in Equity Income (&lt; 1M)</t>
  </si>
  <si>
    <t>Amt In Equity Income (&lt; 1M)</t>
  </si>
  <si>
    <t>% of Amt Remaining for Sleeves in Equity Income (1M+)</t>
  </si>
  <si>
    <t>Amt In Equity Income (1M+)</t>
  </si>
  <si>
    <t>% of Amt Remaining for Sleeves in Real Estate</t>
  </si>
  <si>
    <t>Amt In Real Estate</t>
  </si>
  <si>
    <t xml:space="preserve">% of Amt Remaining for Sleeves in Opportunistic </t>
  </si>
  <si>
    <t xml:space="preserve">Amt In Opportunistic </t>
  </si>
  <si>
    <t>Amt In Cash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</si>
</sst>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8" formatCode="&quot;$&quot;#,##0.00_);[Red]\(&quot;$&quot;#,##0.00\)"/>
    <numFmt numFmtId="44" formatCode="_(&quot;$&quot;* #,##0.00_);_(&quot;$&quot;* \(#,##0.00\);_(&quot;$&quot;* &quot;-&quot;??_);_(@_)"/>
    <numFmt numFmtId="164" formatCode="&quot;$&quot;#,##0"/>
    <numFmt numFmtId="165" formatCode="mm\.dd\.yy;@"/>
    <numFmt numFmtId="166" formatCode="_(&quot;$&quot;* #,##0_);_(&quot;$&quot;* \(#,##0\);_(&quot;$&quot;* &quot;-&quot;??_);_(@_)"/>
    <numFmt numFmtId="167" formatCode="0."/>
    <numFmt numFmtId="168" formatCode="0.0%"/>
    <numFmt numFmtId="169" formatCode="&quot;$&quot;#,##0.00"/>
    <numFmt numFmtId="170" formatCode="_([$$-409]* #,##0.00_);_([$$-409]* \(#,##0.00\);_([$$-409]* &quot;-&quot;??_);_(@_)"/>
  </numFmts>
  <fonts count="72">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2"/>
      <color theme="1"/>
      <name val="Arial"/>
      <family val="2"/>
    </font>
    <font>
      <b/>
      <sz val="12"/>
      <color theme="1"/>
      <name val="Arial"/>
      <family val="2"/>
    </font>
    <font>
      <sz val="18"/>
      <color theme="1"/>
      <name val="Arial"/>
      <family val="2"/>
    </font>
    <font>
      <b/>
      <sz val="18"/>
      <color theme="1"/>
      <name val="Arial"/>
      <family val="2"/>
    </font>
    <font>
      <b/>
      <sz val="11"/>
      <color theme="1"/>
      <name val="Arial"/>
      <family val="2"/>
    </font>
    <font>
      <sz val="11"/>
      <color theme="1"/>
      <name val="Arial"/>
      <family val="2"/>
    </font>
    <font>
      <u/>
      <sz val="12"/>
      <color rgb="FF0070C0"/>
      <name val="Arial"/>
      <family val="2"/>
    </font>
    <font>
      <sz val="11"/>
      <color theme="1"/>
      <name val="Calibri"/>
      <family val="2"/>
    </font>
    <font>
      <sz val="9"/>
      <color theme="1"/>
      <name val="Calibri"/>
      <family val="2"/>
      <scheme val="minor"/>
    </font>
    <font>
      <b/>
      <sz val="9"/>
      <color theme="1"/>
      <name val="Calibri"/>
      <family val="2"/>
      <scheme val="minor"/>
    </font>
    <font>
      <sz val="11"/>
      <color rgb="FFFF0000"/>
      <name val="Calibri"/>
      <family val="2"/>
      <scheme val="minor"/>
    </font>
    <font>
      <sz val="12"/>
      <name val="Arial"/>
      <family val="2"/>
    </font>
    <font>
      <sz val="12"/>
      <color rgb="FFFF0000"/>
      <name val="Arial"/>
      <family val="2"/>
    </font>
    <font>
      <sz val="12"/>
      <color rgb="FF0070C0"/>
      <name val="Arial"/>
      <family val="2"/>
    </font>
    <font>
      <sz val="9"/>
      <name val="Calibri"/>
      <family val="2"/>
      <scheme val="minor"/>
    </font>
    <font>
      <b/>
      <sz val="9"/>
      <color rgb="FF0070C0"/>
      <name val="Calibri"/>
      <family val="2"/>
      <scheme val="minor"/>
    </font>
    <font>
      <sz val="11"/>
      <name val="Calibri"/>
      <family val="2"/>
      <scheme val="minor"/>
    </font>
    <font>
      <i/>
      <sz val="9"/>
      <color theme="1"/>
      <name val="Calibri"/>
      <family val="2"/>
      <scheme val="minor"/>
    </font>
    <font>
      <b/>
      <sz val="9"/>
      <name val="Calibri"/>
      <family val="2"/>
      <scheme val="minor"/>
    </font>
    <font>
      <sz val="8"/>
      <color theme="1"/>
      <name val="Calibri"/>
      <family val="2"/>
      <scheme val="minor"/>
    </font>
    <font>
      <i/>
      <sz val="8"/>
      <color theme="1"/>
      <name val="Calibri"/>
      <family val="2"/>
      <scheme val="minor"/>
    </font>
    <font>
      <sz val="12"/>
      <color rgb="FFFFFFFF"/>
      <name val="Calibri"/>
      <family val="2"/>
      <scheme val="minor"/>
    </font>
    <font>
      <sz val="12"/>
      <color rgb="FF3F3F76"/>
      <name val="Calibri"/>
      <family val="2"/>
      <scheme val="minor"/>
    </font>
    <font>
      <i/>
      <sz val="12"/>
      <color rgb="FF7F7F7F"/>
      <name val="Calibri"/>
      <family val="2"/>
      <scheme val="minor"/>
    </font>
    <font>
      <sz val="12"/>
      <color rgb="FF000000"/>
      <name val="Calibri"/>
      <family val="2"/>
    </font>
    <font>
      <sz val="14"/>
      <color theme="0"/>
      <name val="Calibri"/>
      <family val="2"/>
      <scheme val="minor"/>
    </font>
    <font>
      <i/>
      <sz val="18"/>
      <color rgb="FF7F7F7F"/>
      <name val="Calibri"/>
      <family val="2"/>
      <scheme val="minor"/>
    </font>
    <font>
      <b/>
      <sz val="12"/>
      <color theme="1"/>
      <name val="Calibri"/>
      <family val="2"/>
      <scheme val="minor"/>
    </font>
    <font>
      <sz val="12"/>
      <color theme="0"/>
      <name val="Calibri"/>
      <family val="2"/>
      <scheme val="minor"/>
    </font>
    <font>
      <sz val="18"/>
      <color theme="1"/>
      <name val="Calibri Light"/>
      <family val="2"/>
      <scheme val="major"/>
    </font>
    <font>
      <sz val="22"/>
      <color theme="1"/>
      <name val="Calibri"/>
      <family val="2"/>
      <scheme val="minor"/>
    </font>
    <font>
      <b/>
      <sz val="14"/>
      <color theme="0"/>
      <name val="Calibri"/>
      <family val="2"/>
      <scheme val="minor"/>
    </font>
    <font>
      <sz val="22"/>
      <color theme="3" tint="-0.249977111117893"/>
      <name val="Calibri Light"/>
      <family val="2"/>
      <scheme val="major"/>
    </font>
    <font>
      <sz val="12"/>
      <color rgb="FF9C0006"/>
      <name val="Calibri"/>
      <family val="2"/>
      <scheme val="minor"/>
    </font>
    <font>
      <sz val="18"/>
      <color theme="1"/>
      <name val="Calibri"/>
      <family val="2"/>
      <scheme val="minor"/>
    </font>
    <font>
      <b/>
      <sz val="11"/>
      <color theme="0"/>
      <name val="Calibri"/>
      <family val="2"/>
      <scheme val="minor"/>
    </font>
    <font>
      <sz val="20"/>
      <color theme="1"/>
      <name val="Calibri Light"/>
      <family val="2"/>
      <scheme val="major"/>
    </font>
    <font>
      <sz val="11"/>
      <color theme="1"/>
      <name val="IBM Plex Sans Regular"/>
    </font>
    <font>
      <sz val="12"/>
      <color theme="1"/>
      <name val="IBM Plex Sans Regular"/>
    </font>
    <font>
      <sz val="11"/>
      <color rgb="FFFF0000"/>
      <name val="IBM Plex Sans Regular"/>
    </font>
    <font>
      <sz val="11"/>
      <color rgb="FFFFC000"/>
      <name val="IBM Plex Sans Regular"/>
    </font>
    <font>
      <b/>
      <sz val="11"/>
      <color rgb="FFFF0000"/>
      <name val="IBM Plex Sans Regular"/>
    </font>
    <font>
      <b/>
      <sz val="12"/>
      <color theme="1"/>
      <name val="IBM Plex Sans Regular"/>
    </font>
    <font>
      <b/>
      <sz val="11"/>
      <color theme="1"/>
      <name val="IBM Plex Sans Regular"/>
    </font>
    <font>
      <b/>
      <sz val="11"/>
      <color theme="7"/>
      <name val="IBM Plex Sans Regular"/>
    </font>
    <font>
      <sz val="9"/>
      <color rgb="FF000000"/>
      <name val="Calibri"/>
      <family val="2"/>
      <scheme val="minor"/>
    </font>
    <font>
      <b/>
      <sz val="18"/>
      <color theme="1"/>
      <name val="Helvetica Neue"/>
      <family val="2"/>
    </font>
    <font>
      <sz val="18"/>
      <color theme="1"/>
      <name val="Helvetica Neue"/>
      <family val="2"/>
    </font>
    <font>
      <i/>
      <sz val="11"/>
      <color rgb="FFFF0000"/>
      <name val="Calibri"/>
      <family val="2"/>
      <scheme val="minor"/>
    </font>
    <font>
      <u/>
      <sz val="18"/>
      <color rgb="FF0070C0"/>
      <name val="Helvetica Neue"/>
      <family val="2"/>
    </font>
    <font>
      <b/>
      <sz val="24"/>
      <color theme="1"/>
      <name val="Helvetica Neue"/>
      <family val="2"/>
    </font>
    <font>
      <sz val="24"/>
      <color theme="1"/>
      <name val="Helvetica Neue"/>
      <family val="2"/>
    </font>
    <font>
      <i/>
      <sz val="11"/>
      <color rgb="FF7F7F7F"/>
      <name val="Calibri"/>
      <family val="2"/>
      <scheme val="minor"/>
    </font>
    <font>
      <sz val="12"/>
      <color rgb="FF000000"/>
      <name val="Arial"/>
      <family val="2"/>
    </font>
    <font>
      <sz val="8"/>
      <name val="Calibri"/>
      <family val="2"/>
      <scheme val="minor"/>
    </font>
    <font>
      <sz val="16"/>
      <color theme="1"/>
      <name val="Calibri Light"/>
      <family val="2"/>
      <scheme val="major"/>
    </font>
    <font>
      <i/>
      <sz val="18"/>
      <color theme="0"/>
      <name val="Calibri"/>
      <family val="2"/>
      <scheme val="minor"/>
    </font>
    <font>
      <b/>
      <i/>
      <sz val="18"/>
      <color theme="0"/>
      <name val="Calibri"/>
      <family val="2"/>
      <scheme val="minor"/>
    </font>
    <font>
      <sz val="22"/>
      <color theme="0"/>
      <name val="Calibri Light"/>
      <family val="2"/>
      <scheme val="major"/>
    </font>
    <font>
      <sz val="11"/>
      <color rgb="FF0000FF"/>
      <name val="Calibri"/>
      <family val="2"/>
      <scheme val="minor"/>
    </font>
    <font>
      <sz val="10"/>
      <color rgb="FF000000"/>
      <name val="Tahoma"/>
      <family val="2"/>
    </font>
    <font>
      <b/>
      <sz val="10"/>
      <color rgb="FF000000"/>
      <name val="Tahoma"/>
      <family val="2"/>
    </font>
    <font>
      <sz val="12"/>
      <color rgb="FF000000"/>
      <name val="Aptos Narrow"/>
    </font>
    <font>
      <sz val="11"/>
      <color rgb="FF000000"/>
      <name val="Calibri"/>
      <family val="2"/>
    </font>
  </fonts>
  <fills count="28">
    <fill>
      <patternFill patternType="none"/>
    </fill>
    <fill>
      <patternFill patternType="gray125"/>
    </fill>
    <fill>
      <patternFill patternType="solid">
        <fgColor theme="4" tint="0.79998168889431442"/>
        <bgColor indexed="64"/>
      </patternFill>
    </fill>
    <fill>
      <patternFill patternType="solid">
        <fgColor rgb="FF0070C0"/>
        <bgColor indexed="64"/>
      </patternFill>
    </fill>
    <fill>
      <patternFill patternType="solid">
        <fgColor rgb="FFFF0000"/>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C00000"/>
        <bgColor indexed="64"/>
      </patternFill>
    </fill>
    <fill>
      <patternFill patternType="solid">
        <fgColor theme="5" tint="0.79998168889431442"/>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4472C4"/>
        <bgColor indexed="64"/>
      </patternFill>
    </fill>
    <fill>
      <patternFill patternType="solid">
        <fgColor rgb="FF70AD47"/>
        <bgColor indexed="64"/>
      </patternFill>
    </fill>
    <fill>
      <patternFill patternType="solid">
        <fgColor rgb="FF8EA9DB"/>
        <bgColor indexed="64"/>
      </patternFill>
    </fill>
    <fill>
      <patternFill patternType="solid">
        <fgColor rgb="FFED7D31"/>
        <bgColor indexed="64"/>
      </patternFill>
    </fill>
    <fill>
      <patternFill patternType="solid">
        <fgColor rgb="FF7030A0"/>
        <bgColor indexed="64"/>
      </patternFill>
    </fill>
    <fill>
      <patternFill patternType="solid">
        <fgColor theme="0"/>
        <bgColor indexed="64"/>
      </patternFill>
    </fill>
    <fill>
      <patternFill patternType="solid">
        <fgColor theme="4"/>
        <bgColor indexed="64"/>
      </patternFill>
    </fill>
    <fill>
      <patternFill patternType="solid">
        <fgColor theme="3"/>
        <bgColor indexed="64"/>
      </patternFill>
    </fill>
    <fill>
      <patternFill patternType="solid">
        <fgColor rgb="FFFFCC99"/>
      </patternFill>
    </fill>
    <fill>
      <patternFill patternType="solid">
        <fgColor rgb="FFFFC7CE"/>
      </patternFill>
    </fill>
    <fill>
      <patternFill patternType="solid">
        <fgColor theme="7" tint="0.39997558519241921"/>
        <bgColor indexed="64"/>
      </patternFill>
    </fill>
    <fill>
      <patternFill patternType="solid">
        <fgColor rgb="FFA5A5A5"/>
        <bgColor indexed="64"/>
      </patternFill>
    </fill>
    <fill>
      <patternFill patternType="solid">
        <fgColor rgb="FFFFBA99"/>
        <bgColor indexed="64"/>
      </patternFill>
    </fill>
    <fill>
      <patternFill patternType="solid">
        <fgColor rgb="FFFFFFFF"/>
        <bgColor indexed="64"/>
      </patternFill>
    </fill>
    <fill>
      <patternFill patternType="solid">
        <fgColor rgb="FFFFFFCC"/>
      </patternFill>
    </fill>
    <fill>
      <patternFill patternType="solid">
        <fgColor rgb="FFFFFF99"/>
        <bgColor indexed="64"/>
      </patternFill>
    </fill>
  </fills>
  <borders count="31">
    <border>
      <left/>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double">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right/>
      <top style="thin">
        <color theme="6" tint="0.39997558519241921"/>
      </top>
      <bottom style="thin">
        <color theme="6" tint="0.39997558519241921"/>
      </bottom>
      <diagonal/>
    </border>
    <border>
      <left/>
      <right/>
      <top/>
      <bottom style="thin">
        <color theme="6" tint="0.39997558519241921"/>
      </bottom>
      <diagonal/>
    </border>
    <border>
      <left style="thin">
        <color theme="0" tint="-0.14996795556505021"/>
      </left>
      <right style="thin">
        <color theme="0" tint="-0.14996795556505021"/>
      </right>
      <top/>
      <bottom style="thin">
        <color theme="0" tint="-0.14996795556505021"/>
      </bottom>
      <diagonal/>
    </border>
    <border>
      <left style="thin">
        <color theme="5" tint="0.39997558519241921"/>
      </left>
      <right/>
      <top/>
      <bottom style="thin">
        <color theme="5" tint="0.39997558519241921"/>
      </bottom>
      <diagonal/>
    </border>
    <border>
      <left/>
      <right style="thin">
        <color theme="5" tint="0.39997558519241921"/>
      </right>
      <top/>
      <bottom style="thin">
        <color theme="5" tint="0.39997558519241921"/>
      </bottom>
      <diagonal/>
    </border>
    <border>
      <left style="thin">
        <color theme="6" tint="0.39997558519241921"/>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theme="6" tint="0.39997558519241921"/>
      </left>
      <right/>
      <top/>
      <bottom style="thin">
        <color theme="6" tint="0.39997558519241921"/>
      </bottom>
      <diagonal/>
    </border>
    <border>
      <left/>
      <right/>
      <top style="thin">
        <color theme="6" tint="0.39997558519241921"/>
      </top>
      <bottom/>
      <diagonal/>
    </border>
    <border>
      <left style="thin">
        <color theme="0" tint="-0.14996795556505021"/>
      </left>
      <right/>
      <top/>
      <bottom/>
      <diagonal/>
    </border>
    <border>
      <left/>
      <right/>
      <top/>
      <bottom style="thin">
        <color theme="0" tint="-0.14993743705557422"/>
      </bottom>
      <diagonal/>
    </border>
    <border>
      <left/>
      <right style="thin">
        <color theme="0" tint="-0.14996795556505021"/>
      </right>
      <top style="thin">
        <color theme="6" tint="0.59996337778862885"/>
      </top>
      <bottom/>
      <diagonal/>
    </border>
    <border>
      <left/>
      <right/>
      <top/>
      <bottom style="thin">
        <color theme="6" tint="0.59996337778862885"/>
      </bottom>
      <diagonal/>
    </border>
    <border>
      <left style="thin">
        <color theme="6" tint="0.59996337778862885"/>
      </left>
      <right style="thin">
        <color theme="6" tint="0.59996337778862885"/>
      </right>
      <top style="thin">
        <color theme="6" tint="0.59996337778862885"/>
      </top>
      <bottom style="thin">
        <color theme="6" tint="0.59996337778862885"/>
      </bottom>
      <diagonal/>
    </border>
    <border>
      <left style="thin">
        <color rgb="FFB2B2B2"/>
      </left>
      <right style="thin">
        <color rgb="FFB2B2B2"/>
      </right>
      <top style="thin">
        <color rgb="FFB2B2B2"/>
      </top>
      <bottom style="thin">
        <color rgb="FFB2B2B2"/>
      </bottom>
      <diagonal/>
    </border>
  </borders>
  <cellStyleXfs count="8">
    <xf numFmtId="0" fontId="0" fillId="0" borderId="0"/>
    <xf numFmtId="44" fontId="5" fillId="0" borderId="0" applyFont="0" applyFill="0" applyBorder="0" applyAlignment="0" applyProtection="0"/>
    <xf numFmtId="9" fontId="5" fillId="0" borderId="0" applyFont="0" applyFill="0" applyBorder="0" applyAlignment="0" applyProtection="0"/>
    <xf numFmtId="0" fontId="22" fillId="0" borderId="0" applyNumberFormat="0" applyFill="0" applyBorder="0" applyAlignment="0" applyProtection="0"/>
    <xf numFmtId="0" fontId="30" fillId="20" borderId="14" applyNumberFormat="0" applyAlignment="0" applyProtection="0"/>
    <xf numFmtId="0" fontId="31" fillId="0" borderId="0" applyNumberFormat="0" applyFill="0" applyBorder="0" applyAlignment="0" applyProtection="0"/>
    <xf numFmtId="0" fontId="41" fillId="21" borderId="0" applyNumberFormat="0" applyBorder="0" applyAlignment="0" applyProtection="0"/>
    <xf numFmtId="0" fontId="5" fillId="26" borderId="30" applyNumberFormat="0" applyFont="0" applyAlignment="0" applyProtection="0"/>
  </cellStyleXfs>
  <cellXfs count="367">
    <xf numFmtId="0" fontId="0" fillId="0" borderId="0" xfId="0"/>
    <xf numFmtId="0" fontId="6" fillId="0" borderId="0" xfId="0" applyFont="1"/>
    <xf numFmtId="0" fontId="8" fillId="0" borderId="0" xfId="0" applyFont="1"/>
    <xf numFmtId="10" fontId="0" fillId="0" borderId="0" xfId="2" applyNumberFormat="1" applyFont="1"/>
    <xf numFmtId="0" fontId="7" fillId="3" borderId="0" xfId="0" applyFont="1" applyFill="1"/>
    <xf numFmtId="10" fontId="7" fillId="3" borderId="0" xfId="2" applyNumberFormat="1" applyFont="1" applyFill="1"/>
    <xf numFmtId="10" fontId="0" fillId="0" borderId="0" xfId="0" applyNumberFormat="1"/>
    <xf numFmtId="0" fontId="9" fillId="0" borderId="0" xfId="0" applyFont="1"/>
    <xf numFmtId="166" fontId="9" fillId="0" borderId="0" xfId="1" applyNumberFormat="1" applyFont="1" applyAlignment="1">
      <alignment horizontal="right"/>
    </xf>
    <xf numFmtId="10" fontId="9" fillId="0" borderId="0" xfId="2" applyNumberFormat="1" applyFont="1" applyAlignment="1">
      <alignment horizontal="right"/>
    </xf>
    <xf numFmtId="164" fontId="8" fillId="0" borderId="0" xfId="0" applyNumberFormat="1" applyFont="1"/>
    <xf numFmtId="164" fontId="8" fillId="0" borderId="0" xfId="0" applyNumberFormat="1" applyFont="1" applyAlignment="1">
      <alignment horizontal="right"/>
    </xf>
    <xf numFmtId="0" fontId="8" fillId="0" borderId="0" xfId="0" applyFont="1" applyAlignment="1">
      <alignment horizontal="left"/>
    </xf>
    <xf numFmtId="10" fontId="8" fillId="0" borderId="0" xfId="0" applyNumberFormat="1" applyFont="1" applyAlignment="1">
      <alignment horizontal="right"/>
    </xf>
    <xf numFmtId="0" fontId="9" fillId="0" borderId="0" xfId="0" applyFont="1" applyAlignment="1">
      <alignment horizontal="left"/>
    </xf>
    <xf numFmtId="0" fontId="8" fillId="0" borderId="0" xfId="0" applyFont="1" applyAlignment="1">
      <alignment horizontal="left" vertical="top"/>
    </xf>
    <xf numFmtId="0" fontId="8" fillId="0" borderId="9" xfId="0" applyFont="1" applyBorder="1"/>
    <xf numFmtId="164" fontId="8" fillId="0" borderId="9" xfId="0" applyNumberFormat="1" applyFont="1" applyBorder="1"/>
    <xf numFmtId="10" fontId="8" fillId="0" borderId="9" xfId="0" applyNumberFormat="1" applyFont="1" applyBorder="1" applyAlignment="1">
      <alignment horizontal="right"/>
    </xf>
    <xf numFmtId="164" fontId="8" fillId="0" borderId="9" xfId="0" applyNumberFormat="1" applyFont="1" applyBorder="1" applyAlignment="1">
      <alignment horizontal="right"/>
    </xf>
    <xf numFmtId="0" fontId="8" fillId="0" borderId="9" xfId="0" applyFont="1" applyBorder="1" applyAlignment="1">
      <alignment horizontal="left" vertical="top"/>
    </xf>
    <xf numFmtId="0" fontId="8" fillId="0" borderId="8" xfId="0" applyFont="1" applyBorder="1"/>
    <xf numFmtId="164" fontId="8" fillId="0" borderId="8" xfId="0" applyNumberFormat="1" applyFont="1" applyBorder="1"/>
    <xf numFmtId="164" fontId="8" fillId="0" borderId="8" xfId="0" applyNumberFormat="1" applyFont="1" applyBorder="1" applyAlignment="1">
      <alignment horizontal="right"/>
    </xf>
    <xf numFmtId="0" fontId="8" fillId="0" borderId="8" xfId="0" applyFont="1" applyBorder="1" applyAlignment="1">
      <alignment horizontal="left" vertical="top"/>
    </xf>
    <xf numFmtId="0" fontId="12" fillId="0" borderId="0" xfId="0" applyFont="1"/>
    <xf numFmtId="0" fontId="13" fillId="0" borderId="0" xfId="0" applyFont="1" applyAlignment="1">
      <alignment horizontal="right"/>
    </xf>
    <xf numFmtId="0" fontId="13" fillId="0" borderId="2" xfId="0" applyFont="1" applyBorder="1"/>
    <xf numFmtId="0" fontId="13" fillId="2" borderId="3" xfId="0" applyFont="1" applyFill="1" applyBorder="1" applyAlignment="1">
      <alignment horizontal="right"/>
    </xf>
    <xf numFmtId="0" fontId="13" fillId="0" borderId="4" xfId="0" applyFont="1" applyBorder="1"/>
    <xf numFmtId="0" fontId="13" fillId="2" borderId="5" xfId="0" applyFont="1" applyFill="1" applyBorder="1" applyAlignment="1">
      <alignment horizontal="right"/>
    </xf>
    <xf numFmtId="14" fontId="13" fillId="2" borderId="5" xfId="0" applyNumberFormat="1" applyFont="1" applyFill="1" applyBorder="1" applyAlignment="1">
      <alignment horizontal="right"/>
    </xf>
    <xf numFmtId="0" fontId="13" fillId="0" borderId="6" xfId="0" applyFont="1" applyBorder="1"/>
    <xf numFmtId="14" fontId="13" fillId="2" borderId="7" xfId="0" applyNumberFormat="1" applyFont="1" applyFill="1" applyBorder="1" applyAlignment="1">
      <alignment horizontal="right"/>
    </xf>
    <xf numFmtId="164" fontId="13" fillId="2" borderId="5" xfId="0" applyNumberFormat="1" applyFont="1" applyFill="1" applyBorder="1" applyAlignment="1">
      <alignment horizontal="right"/>
    </xf>
    <xf numFmtId="164" fontId="13" fillId="2" borderId="7" xfId="0" applyNumberFormat="1" applyFont="1" applyFill="1" applyBorder="1" applyAlignment="1">
      <alignment horizontal="right"/>
    </xf>
    <xf numFmtId="9" fontId="13" fillId="0" borderId="8" xfId="0" applyNumberFormat="1" applyFont="1" applyBorder="1" applyAlignment="1">
      <alignment horizontal="right"/>
    </xf>
    <xf numFmtId="164" fontId="13" fillId="0" borderId="3" xfId="0" applyNumberFormat="1" applyFont="1" applyBorder="1" applyAlignment="1">
      <alignment horizontal="right"/>
    </xf>
    <xf numFmtId="9" fontId="13" fillId="0" borderId="0" xfId="0" applyNumberFormat="1" applyFont="1" applyAlignment="1">
      <alignment horizontal="right"/>
    </xf>
    <xf numFmtId="164" fontId="13" fillId="0" borderId="5" xfId="0" applyNumberFormat="1" applyFont="1" applyBorder="1" applyAlignment="1">
      <alignment horizontal="right"/>
    </xf>
    <xf numFmtId="9" fontId="13" fillId="0" borderId="1" xfId="0" applyNumberFormat="1" applyFont="1" applyBorder="1" applyAlignment="1">
      <alignment horizontal="right"/>
    </xf>
    <xf numFmtId="164" fontId="13" fillId="0" borderId="7" xfId="0" applyNumberFormat="1" applyFont="1" applyBorder="1" applyAlignment="1">
      <alignment horizontal="right"/>
    </xf>
    <xf numFmtId="0" fontId="13" fillId="0" borderId="0" xfId="0" applyFont="1"/>
    <xf numFmtId="164" fontId="9" fillId="0" borderId="0" xfId="0" applyNumberFormat="1" applyFont="1"/>
    <xf numFmtId="164" fontId="9" fillId="0" borderId="0" xfId="0" applyNumberFormat="1" applyFont="1" applyAlignment="1">
      <alignment horizontal="right"/>
    </xf>
    <xf numFmtId="0" fontId="9" fillId="0" borderId="0" xfId="0" applyFont="1" applyAlignment="1">
      <alignment horizontal="left" vertical="top"/>
    </xf>
    <xf numFmtId="0" fontId="13" fillId="0" borderId="3" xfId="0" applyFont="1" applyBorder="1" applyAlignment="1">
      <alignment horizontal="right"/>
    </xf>
    <xf numFmtId="0" fontId="16" fillId="0" borderId="0" xfId="0" applyFont="1"/>
    <xf numFmtId="0" fontId="17" fillId="0" borderId="0" xfId="0" applyFont="1"/>
    <xf numFmtId="0" fontId="8" fillId="0" borderId="1" xfId="0" applyFont="1" applyBorder="1" applyAlignment="1">
      <alignment horizontal="left"/>
    </xf>
    <xf numFmtId="0" fontId="0" fillId="0" borderId="0" xfId="0" applyAlignment="1">
      <alignment horizontal="right"/>
    </xf>
    <xf numFmtId="3" fontId="0" fillId="0" borderId="0" xfId="0" applyNumberFormat="1"/>
    <xf numFmtId="168" fontId="0" fillId="0" borderId="0" xfId="0" applyNumberFormat="1"/>
    <xf numFmtId="3" fontId="0" fillId="5" borderId="0" xfId="0" applyNumberFormat="1" applyFill="1"/>
    <xf numFmtId="3" fontId="6" fillId="0" borderId="0" xfId="0" applyNumberFormat="1" applyFont="1"/>
    <xf numFmtId="0" fontId="6" fillId="0" borderId="8" xfId="0" applyFont="1" applyBorder="1"/>
    <xf numFmtId="0" fontId="6" fillId="0" borderId="8" xfId="0" applyFont="1" applyBorder="1" applyAlignment="1">
      <alignment horizontal="right"/>
    </xf>
    <xf numFmtId="10" fontId="6" fillId="0" borderId="8" xfId="0" applyNumberFormat="1" applyFont="1" applyBorder="1" applyAlignment="1">
      <alignment horizontal="right"/>
    </xf>
    <xf numFmtId="0" fontId="6" fillId="6" borderId="1" xfId="0" applyFont="1" applyFill="1" applyBorder="1"/>
    <xf numFmtId="0" fontId="6" fillId="6" borderId="1" xfId="0" applyFont="1" applyFill="1" applyBorder="1" applyAlignment="1">
      <alignment horizontal="right"/>
    </xf>
    <xf numFmtId="3" fontId="6" fillId="6" borderId="1" xfId="0" applyNumberFormat="1" applyFont="1" applyFill="1" applyBorder="1" applyAlignment="1">
      <alignment horizontal="right"/>
    </xf>
    <xf numFmtId="0" fontId="18" fillId="0" borderId="0" xfId="0" applyFont="1"/>
    <xf numFmtId="0" fontId="0" fillId="0" borderId="1" xfId="0" applyBorder="1"/>
    <xf numFmtId="0" fontId="8" fillId="0" borderId="1" xfId="0" applyFont="1" applyBorder="1" applyAlignment="1">
      <alignment horizontal="left" vertical="top"/>
    </xf>
    <xf numFmtId="0" fontId="8" fillId="0" borderId="8" xfId="0" applyFont="1" applyBorder="1" applyAlignment="1">
      <alignment horizontal="left"/>
    </xf>
    <xf numFmtId="0" fontId="8" fillId="4" borderId="0" xfId="0" applyFont="1" applyFill="1"/>
    <xf numFmtId="10" fontId="8" fillId="0" borderId="0" xfId="2" applyNumberFormat="1" applyFont="1"/>
    <xf numFmtId="10" fontId="19" fillId="0" borderId="0" xfId="0" applyNumberFormat="1" applyFont="1" applyAlignment="1">
      <alignment horizontal="right"/>
    </xf>
    <xf numFmtId="164" fontId="19" fillId="0" borderId="0" xfId="0" applyNumberFormat="1" applyFont="1" applyAlignment="1">
      <alignment horizontal="right"/>
    </xf>
    <xf numFmtId="10" fontId="19" fillId="0" borderId="0" xfId="2" applyNumberFormat="1" applyFont="1"/>
    <xf numFmtId="0" fontId="20" fillId="4" borderId="0" xfId="0" applyFont="1" applyFill="1"/>
    <xf numFmtId="0" fontId="20" fillId="0" borderId="0" xfId="0" applyFont="1"/>
    <xf numFmtId="0" fontId="21" fillId="0" borderId="0" xfId="0" applyFont="1"/>
    <xf numFmtId="0" fontId="21" fillId="4" borderId="0" xfId="0" applyFont="1" applyFill="1"/>
    <xf numFmtId="0" fontId="13" fillId="2" borderId="0" xfId="0" applyFont="1" applyFill="1" applyAlignment="1">
      <alignment horizontal="right"/>
    </xf>
    <xf numFmtId="14" fontId="13" fillId="2" borderId="0" xfId="0" applyNumberFormat="1" applyFont="1" applyFill="1" applyAlignment="1">
      <alignment horizontal="right"/>
    </xf>
    <xf numFmtId="10" fontId="8" fillId="0" borderId="0" xfId="0" applyNumberFormat="1" applyFont="1"/>
    <xf numFmtId="0" fontId="19" fillId="4" borderId="0" xfId="0" applyFont="1" applyFill="1"/>
    <xf numFmtId="0" fontId="8" fillId="0" borderId="0" xfId="0" applyFont="1" applyAlignment="1">
      <alignment horizontal="center" vertical="center" wrapText="1"/>
    </xf>
    <xf numFmtId="0" fontId="8" fillId="0" borderId="1" xfId="0" applyFont="1" applyBorder="1"/>
    <xf numFmtId="164" fontId="8" fillId="0" borderId="1" xfId="0" applyNumberFormat="1" applyFont="1" applyBorder="1"/>
    <xf numFmtId="164" fontId="9" fillId="0" borderId="1" xfId="0" applyNumberFormat="1" applyFont="1" applyBorder="1"/>
    <xf numFmtId="164" fontId="9" fillId="0" borderId="8" xfId="0" applyNumberFormat="1" applyFont="1" applyBorder="1"/>
    <xf numFmtId="0" fontId="9" fillId="0" borderId="8" xfId="0" applyFont="1" applyBorder="1"/>
    <xf numFmtId="0" fontId="9" fillId="0" borderId="1" xfId="0" applyFont="1" applyBorder="1"/>
    <xf numFmtId="0" fontId="12" fillId="0" borderId="1" xfId="0" applyFont="1" applyBorder="1" applyAlignment="1">
      <alignment horizontal="center" vertical="top" wrapText="1"/>
    </xf>
    <xf numFmtId="10" fontId="0" fillId="0" borderId="0" xfId="2" applyNumberFormat="1" applyFont="1" applyFill="1"/>
    <xf numFmtId="10" fontId="18" fillId="0" borderId="0" xfId="0" applyNumberFormat="1" applyFont="1"/>
    <xf numFmtId="49" fontId="13" fillId="2" borderId="5" xfId="0" applyNumberFormat="1" applyFont="1" applyFill="1" applyBorder="1" applyAlignment="1">
      <alignment horizontal="right"/>
    </xf>
    <xf numFmtId="0" fontId="16" fillId="0" borderId="0" xfId="0" applyFont="1" applyAlignment="1">
      <alignment horizontal="left"/>
    </xf>
    <xf numFmtId="0" fontId="16" fillId="0" borderId="0" xfId="0" applyFont="1" applyAlignment="1">
      <alignment horizontal="right"/>
    </xf>
    <xf numFmtId="14" fontId="16" fillId="0" borderId="0" xfId="0" applyNumberFormat="1" applyFont="1" applyAlignment="1">
      <alignment horizontal="right"/>
    </xf>
    <xf numFmtId="10" fontId="17" fillId="0" borderId="0" xfId="0" applyNumberFormat="1" applyFont="1"/>
    <xf numFmtId="0" fontId="16" fillId="0" borderId="1" xfId="0" applyFont="1" applyBorder="1"/>
    <xf numFmtId="14" fontId="16" fillId="0" borderId="1" xfId="0" applyNumberFormat="1" applyFont="1" applyBorder="1"/>
    <xf numFmtId="0" fontId="16" fillId="0" borderId="1" xfId="0" applyFont="1" applyBorder="1" applyAlignment="1">
      <alignment horizontal="right"/>
    </xf>
    <xf numFmtId="10" fontId="16" fillId="0" borderId="1" xfId="0" applyNumberFormat="1" applyFont="1" applyBorder="1"/>
    <xf numFmtId="0" fontId="17" fillId="0" borderId="1" xfId="0" applyFont="1" applyBorder="1"/>
    <xf numFmtId="0" fontId="22" fillId="0" borderId="0" xfId="3" applyAlignment="1">
      <alignment horizontal="left"/>
    </xf>
    <xf numFmtId="14" fontId="16" fillId="0" borderId="0" xfId="0" applyNumberFormat="1" applyFont="1"/>
    <xf numFmtId="10" fontId="16" fillId="0" borderId="0" xfId="0" applyNumberFormat="1" applyFont="1"/>
    <xf numFmtId="0" fontId="22" fillId="0" borderId="1" xfId="0" applyFont="1" applyBorder="1" applyAlignment="1">
      <alignment horizontal="left"/>
    </xf>
    <xf numFmtId="0" fontId="17" fillId="0" borderId="1" xfId="0" applyFont="1" applyBorder="1" applyAlignment="1">
      <alignment horizontal="right"/>
    </xf>
    <xf numFmtId="0" fontId="16" fillId="0" borderId="8" xfId="0" applyFont="1" applyBorder="1"/>
    <xf numFmtId="10" fontId="17" fillId="0" borderId="8" xfId="0" applyNumberFormat="1" applyFont="1" applyBorder="1"/>
    <xf numFmtId="0" fontId="17" fillId="0" borderId="8" xfId="0" applyFont="1" applyBorder="1"/>
    <xf numFmtId="0" fontId="22" fillId="0" borderId="0" xfId="3"/>
    <xf numFmtId="0" fontId="16" fillId="0" borderId="1" xfId="0" applyFont="1" applyBorder="1" applyAlignment="1">
      <alignment horizontal="left"/>
    </xf>
    <xf numFmtId="14" fontId="16" fillId="0" borderId="1" xfId="0" applyNumberFormat="1" applyFont="1" applyBorder="1" applyAlignment="1">
      <alignment horizontal="right"/>
    </xf>
    <xf numFmtId="10" fontId="16" fillId="0" borderId="0" xfId="0" applyNumberFormat="1" applyFont="1" applyAlignment="1">
      <alignment horizontal="right"/>
    </xf>
    <xf numFmtId="4" fontId="16" fillId="0" borderId="0" xfId="0" applyNumberFormat="1" applyFont="1" applyAlignment="1">
      <alignment horizontal="right"/>
    </xf>
    <xf numFmtId="0" fontId="22" fillId="0" borderId="0" xfId="3" applyFill="1" applyAlignment="1">
      <alignment horizontal="left"/>
    </xf>
    <xf numFmtId="10" fontId="16" fillId="0" borderId="0" xfId="0" quotePrefix="1" applyNumberFormat="1" applyFont="1" applyAlignment="1">
      <alignment horizontal="right"/>
    </xf>
    <xf numFmtId="0" fontId="16" fillId="0" borderId="0" xfId="0" quotePrefix="1" applyFont="1"/>
    <xf numFmtId="0" fontId="17" fillId="0" borderId="1" xfId="0" applyFont="1" applyBorder="1" applyAlignment="1">
      <alignment horizontal="left"/>
    </xf>
    <xf numFmtId="0" fontId="17" fillId="0" borderId="1" xfId="0" applyFont="1" applyBorder="1" applyAlignment="1">
      <alignment horizontal="right" wrapText="1"/>
    </xf>
    <xf numFmtId="0" fontId="17" fillId="0" borderId="1" xfId="0" applyFont="1" applyBorder="1" applyAlignment="1">
      <alignment wrapText="1"/>
    </xf>
    <xf numFmtId="0" fontId="22" fillId="0" borderId="1" xfId="3" applyFill="1" applyBorder="1"/>
    <xf numFmtId="0" fontId="22" fillId="0" borderId="1" xfId="3" applyBorder="1"/>
    <xf numFmtId="10" fontId="16" fillId="0" borderId="1" xfId="0" quotePrefix="1" applyNumberFormat="1" applyFont="1" applyBorder="1" applyAlignment="1">
      <alignment horizontal="right"/>
    </xf>
    <xf numFmtId="10" fontId="16" fillId="0" borderId="1" xfId="0" applyNumberFormat="1" applyFont="1" applyBorder="1" applyAlignment="1">
      <alignment horizontal="right"/>
    </xf>
    <xf numFmtId="0" fontId="22" fillId="0" borderId="0" xfId="0" applyFont="1"/>
    <xf numFmtId="10" fontId="17" fillId="0" borderId="0" xfId="0" applyNumberFormat="1" applyFont="1" applyAlignment="1">
      <alignment horizontal="right"/>
    </xf>
    <xf numFmtId="0" fontId="22" fillId="0" borderId="0" xfId="3" applyBorder="1"/>
    <xf numFmtId="0" fontId="16" fillId="0" borderId="8" xfId="0" applyFont="1" applyBorder="1" applyAlignment="1">
      <alignment horizontal="right"/>
    </xf>
    <xf numFmtId="14" fontId="16" fillId="0" borderId="8" xfId="0" applyNumberFormat="1" applyFont="1" applyBorder="1" applyAlignment="1">
      <alignment horizontal="right"/>
    </xf>
    <xf numFmtId="10" fontId="16" fillId="0" borderId="8" xfId="0" quotePrefix="1" applyNumberFormat="1" applyFont="1" applyBorder="1" applyAlignment="1">
      <alignment horizontal="right"/>
    </xf>
    <xf numFmtId="10" fontId="16" fillId="0" borderId="8" xfId="0" applyNumberFormat="1" applyFont="1" applyBorder="1" applyAlignment="1">
      <alignment horizontal="right"/>
    </xf>
    <xf numFmtId="0" fontId="16" fillId="0" borderId="8" xfId="0" applyFont="1" applyBorder="1" applyAlignment="1">
      <alignment horizontal="left"/>
    </xf>
    <xf numFmtId="0" fontId="17" fillId="0" borderId="0" xfId="0" applyFont="1" applyAlignment="1">
      <alignment horizontal="right"/>
    </xf>
    <xf numFmtId="0" fontId="17" fillId="0" borderId="0" xfId="0" applyFont="1" applyAlignment="1">
      <alignment horizontal="left"/>
    </xf>
    <xf numFmtId="0" fontId="23" fillId="0" borderId="0" xfId="0" applyFont="1"/>
    <xf numFmtId="0" fontId="22" fillId="0" borderId="0" xfId="0" applyFont="1" applyAlignment="1">
      <alignment horizontal="left"/>
    </xf>
    <xf numFmtId="0" fontId="22" fillId="0" borderId="0" xfId="3" applyBorder="1" applyAlignment="1">
      <alignment horizontal="left"/>
    </xf>
    <xf numFmtId="14" fontId="17" fillId="0" borderId="0" xfId="0" applyNumberFormat="1" applyFont="1" applyAlignment="1">
      <alignment horizontal="right"/>
    </xf>
    <xf numFmtId="0" fontId="16" fillId="0" borderId="0" xfId="0" applyFont="1" applyAlignment="1">
      <alignment horizontal="center"/>
    </xf>
    <xf numFmtId="0" fontId="22" fillId="0" borderId="0" xfId="0" applyFont="1" applyAlignment="1">
      <alignment horizontal="center"/>
    </xf>
    <xf numFmtId="8" fontId="16" fillId="0" borderId="0" xfId="0" applyNumberFormat="1" applyFont="1"/>
    <xf numFmtId="9" fontId="16" fillId="0" borderId="0" xfId="0" applyNumberFormat="1" applyFont="1"/>
    <xf numFmtId="10" fontId="17" fillId="0" borderId="8" xfId="0" applyNumberFormat="1" applyFont="1" applyBorder="1" applyAlignment="1">
      <alignment horizontal="right"/>
    </xf>
    <xf numFmtId="0" fontId="22" fillId="0" borderId="1" xfId="3" applyFill="1" applyBorder="1" applyAlignment="1">
      <alignment horizontal="left"/>
    </xf>
    <xf numFmtId="0" fontId="22" fillId="0" borderId="8" xfId="0" applyFont="1" applyBorder="1"/>
    <xf numFmtId="0" fontId="17" fillId="0" borderId="8" xfId="0" applyFont="1" applyBorder="1" applyAlignment="1">
      <alignment horizontal="right"/>
    </xf>
    <xf numFmtId="14" fontId="17" fillId="0" borderId="8" xfId="0" applyNumberFormat="1" applyFont="1" applyBorder="1" applyAlignment="1">
      <alignment horizontal="right"/>
    </xf>
    <xf numFmtId="0" fontId="22" fillId="7" borderId="0" xfId="0" applyFont="1" applyFill="1" applyAlignment="1">
      <alignment horizontal="center" vertical="center"/>
    </xf>
    <xf numFmtId="0" fontId="22" fillId="4" borderId="0" xfId="0" applyFont="1" applyFill="1" applyAlignment="1">
      <alignment horizontal="center" vertical="center"/>
    </xf>
    <xf numFmtId="0" fontId="16" fillId="8" borderId="0" xfId="0" applyFont="1" applyFill="1" applyAlignment="1">
      <alignment horizontal="center" vertical="center"/>
    </xf>
    <xf numFmtId="0" fontId="16" fillId="9" borderId="0" xfId="0" applyFont="1" applyFill="1" applyAlignment="1">
      <alignment horizontal="center" vertical="center"/>
    </xf>
    <xf numFmtId="0" fontId="22" fillId="10" borderId="0" xfId="0" applyFont="1" applyFill="1" applyAlignment="1">
      <alignment horizontal="center" vertical="center"/>
    </xf>
    <xf numFmtId="0" fontId="22" fillId="11" borderId="0" xfId="0" applyFont="1" applyFill="1" applyAlignment="1">
      <alignment horizontal="center" vertical="center"/>
    </xf>
    <xf numFmtId="10" fontId="16" fillId="0" borderId="5" xfId="2" applyNumberFormat="1" applyFont="1" applyBorder="1"/>
    <xf numFmtId="10" fontId="16" fillId="0" borderId="0" xfId="2" applyNumberFormat="1" applyFont="1" applyBorder="1"/>
    <xf numFmtId="0" fontId="16" fillId="5" borderId="5" xfId="0" applyFont="1" applyFill="1" applyBorder="1"/>
    <xf numFmtId="0" fontId="16" fillId="5" borderId="0" xfId="0" applyFont="1" applyFill="1"/>
    <xf numFmtId="0" fontId="17" fillId="0" borderId="4" xfId="0" applyFont="1" applyBorder="1"/>
    <xf numFmtId="10" fontId="16" fillId="0" borderId="7" xfId="2" applyNumberFormat="1" applyFont="1" applyBorder="1"/>
    <xf numFmtId="10" fontId="16" fillId="0" borderId="1" xfId="2" applyNumberFormat="1" applyFont="1" applyBorder="1"/>
    <xf numFmtId="0" fontId="16" fillId="5" borderId="7" xfId="0" applyFont="1" applyFill="1" applyBorder="1"/>
    <xf numFmtId="0" fontId="16" fillId="5" borderId="1" xfId="0" applyFont="1" applyFill="1" applyBorder="1"/>
    <xf numFmtId="0" fontId="17" fillId="0" borderId="6" xfId="0" applyFont="1" applyBorder="1"/>
    <xf numFmtId="14" fontId="17" fillId="0" borderId="3" xfId="0" applyNumberFormat="1" applyFont="1" applyBorder="1" applyAlignment="1">
      <alignment horizontal="right"/>
    </xf>
    <xf numFmtId="0" fontId="16" fillId="0" borderId="2" xfId="0" applyFont="1" applyBorder="1"/>
    <xf numFmtId="10" fontId="18" fillId="0" borderId="0" xfId="2" applyNumberFormat="1" applyFont="1" applyFill="1"/>
    <xf numFmtId="10" fontId="24" fillId="0" borderId="0" xfId="0" applyNumberFormat="1" applyFont="1"/>
    <xf numFmtId="10" fontId="24" fillId="0" borderId="0" xfId="2" applyNumberFormat="1" applyFont="1" applyFill="1"/>
    <xf numFmtId="0" fontId="22" fillId="0" borderId="0" xfId="3" applyFill="1"/>
    <xf numFmtId="0" fontId="22" fillId="0" borderId="0" xfId="3" applyFill="1" applyBorder="1" applyAlignment="1">
      <alignment horizontal="left"/>
    </xf>
    <xf numFmtId="0" fontId="22" fillId="0" borderId="0" xfId="3" applyFill="1" applyBorder="1"/>
    <xf numFmtId="4" fontId="16" fillId="0" borderId="1" xfId="0" applyNumberFormat="1" applyFont="1" applyBorder="1" applyAlignment="1">
      <alignment horizontal="right"/>
    </xf>
    <xf numFmtId="10" fontId="22" fillId="0" borderId="0" xfId="0" applyNumberFormat="1" applyFont="1" applyAlignment="1">
      <alignment horizontal="right"/>
    </xf>
    <xf numFmtId="0" fontId="26" fillId="0" borderId="1" xfId="0" applyFont="1" applyBorder="1" applyAlignment="1">
      <alignment horizontal="right"/>
    </xf>
    <xf numFmtId="14" fontId="22" fillId="0" borderId="0" xfId="0" applyNumberFormat="1" applyFont="1" applyAlignment="1">
      <alignment horizontal="right"/>
    </xf>
    <xf numFmtId="0" fontId="22" fillId="0" borderId="0" xfId="0" applyFont="1" applyAlignment="1">
      <alignment horizontal="right"/>
    </xf>
    <xf numFmtId="0" fontId="8" fillId="17" borderId="0" xfId="0" applyFont="1" applyFill="1" applyAlignment="1">
      <alignment horizontal="left" vertical="top"/>
    </xf>
    <xf numFmtId="0" fontId="8" fillId="18" borderId="0" xfId="0" applyFont="1" applyFill="1" applyAlignment="1">
      <alignment horizontal="left"/>
    </xf>
    <xf numFmtId="0" fontId="20" fillId="18" borderId="0" xfId="0" applyFont="1" applyFill="1" applyAlignment="1">
      <alignment horizontal="left"/>
    </xf>
    <xf numFmtId="0" fontId="7" fillId="19" borderId="0" xfId="0" applyFont="1" applyFill="1" applyAlignment="1">
      <alignment horizontal="center"/>
    </xf>
    <xf numFmtId="9" fontId="0" fillId="0" borderId="0" xfId="0" applyNumberFormat="1"/>
    <xf numFmtId="9" fontId="30" fillId="17" borderId="0" xfId="2" applyFont="1" applyFill="1" applyBorder="1" applyAlignment="1" applyProtection="1"/>
    <xf numFmtId="0" fontId="16" fillId="17" borderId="0" xfId="0" applyFont="1" applyFill="1"/>
    <xf numFmtId="0" fontId="35" fillId="0" borderId="0" xfId="0" applyFont="1"/>
    <xf numFmtId="0" fontId="4" fillId="0" borderId="0" xfId="0" applyFont="1"/>
    <xf numFmtId="44" fontId="0" fillId="0" borderId="0" xfId="1" applyFont="1"/>
    <xf numFmtId="0" fontId="33" fillId="19" borderId="0" xfId="0" applyFont="1" applyFill="1"/>
    <xf numFmtId="0" fontId="38" fillId="0" borderId="0" xfId="0" applyFont="1"/>
    <xf numFmtId="0" fontId="40" fillId="0" borderId="0" xfId="0" applyFont="1" applyAlignment="1">
      <alignment horizontal="left"/>
    </xf>
    <xf numFmtId="0" fontId="39" fillId="19" borderId="17" xfId="0" applyFont="1" applyFill="1" applyBorder="1"/>
    <xf numFmtId="44" fontId="31" fillId="0" borderId="10" xfId="5" applyNumberFormat="1" applyBorder="1" applyAlignment="1">
      <alignment horizontal="center"/>
    </xf>
    <xf numFmtId="0" fontId="34" fillId="0" borderId="0" xfId="5" applyFont="1" applyFill="1" applyAlignment="1"/>
    <xf numFmtId="0" fontId="18" fillId="0" borderId="0" xfId="0" applyFont="1" applyAlignment="1">
      <alignment horizontal="left"/>
    </xf>
    <xf numFmtId="0" fontId="0" fillId="0" borderId="0" xfId="0" applyAlignment="1">
      <alignment horizontal="center"/>
    </xf>
    <xf numFmtId="170" fontId="0" fillId="0" borderId="0" xfId="0" applyNumberFormat="1"/>
    <xf numFmtId="0" fontId="0" fillId="22" borderId="0" xfId="0" applyFill="1" applyAlignment="1">
      <alignment horizontal="center"/>
    </xf>
    <xf numFmtId="0" fontId="42" fillId="0" borderId="0" xfId="0" applyFont="1"/>
    <xf numFmtId="0" fontId="37" fillId="0" borderId="0" xfId="0" applyFont="1"/>
    <xf numFmtId="0" fontId="0" fillId="23" borderId="0" xfId="0" applyFill="1"/>
    <xf numFmtId="0" fontId="0" fillId="14" borderId="0" xfId="0" applyFill="1"/>
    <xf numFmtId="0" fontId="0" fillId="15" borderId="0" xfId="0" applyFill="1"/>
    <xf numFmtId="0" fontId="29" fillId="16" borderId="0" xfId="0" applyFont="1" applyFill="1"/>
    <xf numFmtId="0" fontId="0" fillId="12" borderId="0" xfId="0" applyFill="1"/>
    <xf numFmtId="0" fontId="0" fillId="13" borderId="0" xfId="0" applyFill="1"/>
    <xf numFmtId="9" fontId="0" fillId="0" borderId="1" xfId="0" applyNumberFormat="1" applyBorder="1" applyAlignment="1">
      <alignment horizontal="right"/>
    </xf>
    <xf numFmtId="9" fontId="0" fillId="0" borderId="1" xfId="0" applyNumberFormat="1" applyBorder="1"/>
    <xf numFmtId="9" fontId="0" fillId="0" borderId="15" xfId="0" applyNumberFormat="1" applyBorder="1"/>
    <xf numFmtId="0" fontId="44" fillId="0" borderId="0" xfId="0" applyFont="1"/>
    <xf numFmtId="9" fontId="0" fillId="0" borderId="0" xfId="0" applyNumberFormat="1" applyAlignment="1">
      <alignment horizontal="left"/>
    </xf>
    <xf numFmtId="168" fontId="0" fillId="0" borderId="0" xfId="2" applyNumberFormat="1" applyFont="1" applyAlignment="1">
      <alignment horizontal="left"/>
    </xf>
    <xf numFmtId="9" fontId="0" fillId="0" borderId="0" xfId="2" applyFont="1" applyAlignment="1">
      <alignment horizontal="left"/>
    </xf>
    <xf numFmtId="9" fontId="30" fillId="24" borderId="14" xfId="4" applyNumberFormat="1" applyFill="1" applyAlignment="1" applyProtection="1">
      <alignment horizontal="center"/>
    </xf>
    <xf numFmtId="0" fontId="43" fillId="15" borderId="19" xfId="0" applyFont="1" applyFill="1" applyBorder="1"/>
    <xf numFmtId="0" fontId="43" fillId="15" borderId="20" xfId="0" applyFont="1" applyFill="1" applyBorder="1"/>
    <xf numFmtId="0" fontId="45" fillId="17" borderId="0" xfId="0" applyFont="1" applyFill="1"/>
    <xf numFmtId="0" fontId="45" fillId="17" borderId="0" xfId="0" applyFont="1" applyFill="1" applyAlignment="1">
      <alignment horizontal="left"/>
    </xf>
    <xf numFmtId="0" fontId="46" fillId="0" borderId="0" xfId="0" applyFont="1"/>
    <xf numFmtId="0" fontId="47" fillId="17" borderId="0" xfId="0" applyFont="1" applyFill="1" applyAlignment="1">
      <alignment horizontal="left"/>
    </xf>
    <xf numFmtId="0" fontId="48" fillId="17" borderId="0" xfId="0" applyFont="1" applyFill="1" applyAlignment="1">
      <alignment horizontal="left"/>
    </xf>
    <xf numFmtId="0" fontId="49" fillId="17" borderId="0" xfId="0" applyFont="1" applyFill="1" applyAlignment="1">
      <alignment horizontal="left"/>
    </xf>
    <xf numFmtId="0" fontId="50" fillId="0" borderId="0" xfId="0" applyFont="1"/>
    <xf numFmtId="0" fontId="47" fillId="17" borderId="0" xfId="0" applyFont="1" applyFill="1"/>
    <xf numFmtId="0" fontId="46" fillId="0" borderId="0" xfId="0" applyFont="1" applyAlignment="1">
      <alignment horizontal="center" vertical="center" wrapText="1"/>
    </xf>
    <xf numFmtId="0" fontId="50" fillId="0" borderId="1" xfId="0" applyFont="1" applyBorder="1"/>
    <xf numFmtId="0" fontId="51" fillId="0" borderId="1" xfId="0" applyFont="1" applyBorder="1" applyAlignment="1">
      <alignment horizontal="center" vertical="top" wrapText="1"/>
    </xf>
    <xf numFmtId="164" fontId="50" fillId="0" borderId="1" xfId="0" applyNumberFormat="1" applyFont="1" applyBorder="1"/>
    <xf numFmtId="164" fontId="46" fillId="0" borderId="1" xfId="0" applyNumberFormat="1" applyFont="1" applyBorder="1"/>
    <xf numFmtId="0" fontId="50" fillId="0" borderId="0" xfId="0" applyFont="1" applyAlignment="1">
      <alignment horizontal="left"/>
    </xf>
    <xf numFmtId="164" fontId="46" fillId="0" borderId="0" xfId="0" applyNumberFormat="1" applyFont="1"/>
    <xf numFmtId="0" fontId="52" fillId="17" borderId="0" xfId="0" applyFont="1" applyFill="1" applyAlignment="1">
      <alignment horizontal="left"/>
    </xf>
    <xf numFmtId="0" fontId="51" fillId="17" borderId="0" xfId="0" applyFont="1" applyFill="1" applyAlignment="1">
      <alignment horizontal="left"/>
    </xf>
    <xf numFmtId="0" fontId="46" fillId="0" borderId="1" xfId="0" applyFont="1" applyBorder="1"/>
    <xf numFmtId="164" fontId="50" fillId="0" borderId="0" xfId="0" applyNumberFormat="1" applyFont="1"/>
    <xf numFmtId="0" fontId="50" fillId="0" borderId="8" xfId="0" applyFont="1" applyBorder="1"/>
    <xf numFmtId="164" fontId="50" fillId="0" borderId="8" xfId="0" applyNumberFormat="1" applyFont="1" applyBorder="1"/>
    <xf numFmtId="9" fontId="0" fillId="0" borderId="0" xfId="0" applyNumberFormat="1" applyAlignment="1">
      <alignment horizontal="center"/>
    </xf>
    <xf numFmtId="0" fontId="38" fillId="0" borderId="0" xfId="0" applyFont="1" applyAlignment="1">
      <alignment horizontal="left" vertical="center"/>
    </xf>
    <xf numFmtId="0" fontId="0" fillId="0" borderId="24" xfId="0" applyBorder="1"/>
    <xf numFmtId="0" fontId="0" fillId="0" borderId="16" xfId="0" applyBorder="1"/>
    <xf numFmtId="169" fontId="39" fillId="19" borderId="17" xfId="1" applyNumberFormat="1" applyFont="1" applyFill="1" applyBorder="1"/>
    <xf numFmtId="9" fontId="0" fillId="0" borderId="17" xfId="2" applyFont="1" applyFill="1" applyBorder="1"/>
    <xf numFmtId="9" fontId="0" fillId="0" borderId="0" xfId="2" applyFont="1" applyFill="1"/>
    <xf numFmtId="9" fontId="0" fillId="0" borderId="16" xfId="2" applyFont="1" applyFill="1" applyBorder="1"/>
    <xf numFmtId="9" fontId="0" fillId="0" borderId="24" xfId="2" applyFont="1" applyFill="1" applyBorder="1"/>
    <xf numFmtId="9" fontId="0" fillId="0" borderId="0" xfId="2" applyFont="1" applyFill="1" applyBorder="1"/>
    <xf numFmtId="9" fontId="3" fillId="0" borderId="10" xfId="2" applyFont="1" applyBorder="1" applyAlignment="1">
      <alignment horizontal="center" wrapText="1"/>
    </xf>
    <xf numFmtId="0" fontId="39" fillId="19" borderId="16" xfId="0" applyFont="1" applyFill="1" applyBorder="1"/>
    <xf numFmtId="0" fontId="39" fillId="19" borderId="22" xfId="0" applyFont="1" applyFill="1" applyBorder="1"/>
    <xf numFmtId="0" fontId="39" fillId="19" borderId="0" xfId="0" applyFont="1" applyFill="1"/>
    <xf numFmtId="0" fontId="31" fillId="0" borderId="0" xfId="5"/>
    <xf numFmtId="0" fontId="31" fillId="17" borderId="0" xfId="5" applyFill="1" applyAlignment="1">
      <alignment horizontal="center"/>
    </xf>
    <xf numFmtId="0" fontId="31" fillId="0" borderId="0" xfId="5" applyAlignment="1">
      <alignment horizontal="center"/>
    </xf>
    <xf numFmtId="0" fontId="31" fillId="0" borderId="0" xfId="5" applyFill="1"/>
    <xf numFmtId="9" fontId="31" fillId="0" borderId="0" xfId="5" applyNumberFormat="1" applyFill="1"/>
    <xf numFmtId="0" fontId="31" fillId="0" borderId="0" xfId="5" applyFill="1" applyAlignment="1">
      <alignment horizontal="right"/>
    </xf>
    <xf numFmtId="9" fontId="31" fillId="0" borderId="0" xfId="5" applyNumberFormat="1" applyFill="1" applyAlignment="1">
      <alignment horizontal="center"/>
    </xf>
    <xf numFmtId="14" fontId="53" fillId="0" borderId="0" xfId="0" applyNumberFormat="1" applyFont="1"/>
    <xf numFmtId="14" fontId="53" fillId="0" borderId="1" xfId="0" applyNumberFormat="1" applyFont="1" applyBorder="1"/>
    <xf numFmtId="14" fontId="53" fillId="0" borderId="8" xfId="0" applyNumberFormat="1" applyFont="1" applyBorder="1"/>
    <xf numFmtId="0" fontId="39" fillId="19" borderId="23" xfId="0" applyFont="1" applyFill="1" applyBorder="1"/>
    <xf numFmtId="0" fontId="6" fillId="0" borderId="0" xfId="0" applyFont="1" applyAlignment="1">
      <alignment horizontal="left"/>
    </xf>
    <xf numFmtId="0" fontId="33" fillId="19" borderId="0" xfId="0" applyFont="1" applyFill="1" applyAlignment="1">
      <alignment horizontal="left"/>
    </xf>
    <xf numFmtId="0" fontId="0" fillId="0" borderId="0" xfId="0" applyAlignment="1">
      <alignment horizontal="left"/>
    </xf>
    <xf numFmtId="0" fontId="56" fillId="0" borderId="0" xfId="0" applyFont="1"/>
    <xf numFmtId="0" fontId="55" fillId="0" borderId="0" xfId="0" applyFont="1" applyAlignment="1">
      <alignment horizontal="left" vertical="top"/>
    </xf>
    <xf numFmtId="0" fontId="55" fillId="0" borderId="0" xfId="0" applyFont="1" applyAlignment="1">
      <alignment horizontal="left"/>
    </xf>
    <xf numFmtId="0" fontId="55" fillId="0" borderId="8" xfId="0" applyFont="1" applyBorder="1" applyAlignment="1">
      <alignment horizontal="left" vertical="top"/>
    </xf>
    <xf numFmtId="0" fontId="55" fillId="0" borderId="9" xfId="0" applyFont="1" applyBorder="1" applyAlignment="1">
      <alignment horizontal="left" vertical="top"/>
    </xf>
    <xf numFmtId="0" fontId="54" fillId="0" borderId="0" xfId="0" applyFont="1" applyAlignment="1">
      <alignment horizontal="left" vertical="top"/>
    </xf>
    <xf numFmtId="0" fontId="31" fillId="0" borderId="24" xfId="5" applyFill="1" applyBorder="1"/>
    <xf numFmtId="44" fontId="31" fillId="0" borderId="24" xfId="1" applyFont="1" applyFill="1" applyBorder="1"/>
    <xf numFmtId="0" fontId="31" fillId="0" borderId="21" xfId="5" applyFill="1" applyBorder="1"/>
    <xf numFmtId="44" fontId="31" fillId="0" borderId="21" xfId="1" applyFont="1" applyFill="1" applyBorder="1"/>
    <xf numFmtId="0" fontId="55" fillId="0" borderId="0" xfId="0" applyFont="1" applyAlignment="1">
      <alignment vertical="top"/>
    </xf>
    <xf numFmtId="0" fontId="54" fillId="0" borderId="0" xfId="0" applyFont="1" applyAlignment="1">
      <alignment vertical="top"/>
    </xf>
    <xf numFmtId="166" fontId="54" fillId="0" borderId="0" xfId="1" applyNumberFormat="1" applyFont="1" applyAlignment="1">
      <alignment horizontal="right" vertical="top"/>
    </xf>
    <xf numFmtId="10" fontId="54" fillId="0" borderId="0" xfId="2" applyNumberFormat="1" applyFont="1" applyAlignment="1">
      <alignment horizontal="right" vertical="top"/>
    </xf>
    <xf numFmtId="164" fontId="55" fillId="0" borderId="0" xfId="0" applyNumberFormat="1" applyFont="1" applyAlignment="1">
      <alignment vertical="top"/>
    </xf>
    <xf numFmtId="10" fontId="55" fillId="0" borderId="0" xfId="0" applyNumberFormat="1" applyFont="1" applyAlignment="1">
      <alignment horizontal="right" vertical="top"/>
    </xf>
    <xf numFmtId="164" fontId="55" fillId="0" borderId="0" xfId="0" applyNumberFormat="1" applyFont="1" applyAlignment="1">
      <alignment horizontal="right" vertical="top"/>
    </xf>
    <xf numFmtId="0" fontId="55" fillId="0" borderId="8" xfId="0" applyFont="1" applyBorder="1" applyAlignment="1">
      <alignment vertical="top"/>
    </xf>
    <xf numFmtId="164" fontId="55" fillId="0" borderId="8" xfId="0" applyNumberFormat="1" applyFont="1" applyBorder="1" applyAlignment="1">
      <alignment vertical="top"/>
    </xf>
    <xf numFmtId="164" fontId="55" fillId="0" borderId="8" xfId="0" applyNumberFormat="1" applyFont="1" applyBorder="1" applyAlignment="1">
      <alignment horizontal="right" vertical="top"/>
    </xf>
    <xf numFmtId="0" fontId="55" fillId="0" borderId="9" xfId="0" applyFont="1" applyBorder="1" applyAlignment="1">
      <alignment vertical="top"/>
    </xf>
    <xf numFmtId="164" fontId="55" fillId="0" borderId="9" xfId="0" applyNumberFormat="1" applyFont="1" applyBorder="1" applyAlignment="1">
      <alignment vertical="top"/>
    </xf>
    <xf numFmtId="10" fontId="55" fillId="0" borderId="9" xfId="0" applyNumberFormat="1" applyFont="1" applyBorder="1" applyAlignment="1">
      <alignment horizontal="right" vertical="top"/>
    </xf>
    <xf numFmtId="164" fontId="55" fillId="0" borderId="9" xfId="0" applyNumberFormat="1" applyFont="1" applyBorder="1" applyAlignment="1">
      <alignment horizontal="right" vertical="top"/>
    </xf>
    <xf numFmtId="164" fontId="54" fillId="0" borderId="0" xfId="0" applyNumberFormat="1" applyFont="1" applyAlignment="1">
      <alignment vertical="top"/>
    </xf>
    <xf numFmtId="164" fontId="54" fillId="0" borderId="0" xfId="0" applyNumberFormat="1" applyFont="1" applyAlignment="1">
      <alignment horizontal="right" vertical="top"/>
    </xf>
    <xf numFmtId="2" fontId="0" fillId="0" borderId="0" xfId="0" applyNumberFormat="1"/>
    <xf numFmtId="44" fontId="5" fillId="0" borderId="10" xfId="1" applyFont="1" applyBorder="1" applyAlignment="1">
      <alignment horizontal="center"/>
    </xf>
    <xf numFmtId="14" fontId="3" fillId="0" borderId="0" xfId="1" applyNumberFormat="1" applyFont="1" applyBorder="1" applyAlignment="1">
      <alignment horizontal="center"/>
    </xf>
    <xf numFmtId="44" fontId="3" fillId="0" borderId="0" xfId="1" applyFont="1" applyBorder="1"/>
    <xf numFmtId="44" fontId="3" fillId="0" borderId="18" xfId="2" applyNumberFormat="1" applyFont="1" applyBorder="1" applyAlignment="1">
      <alignment horizontal="center"/>
    </xf>
    <xf numFmtId="9" fontId="3" fillId="0" borderId="10" xfId="2" applyFont="1" applyBorder="1" applyAlignment="1">
      <alignment horizontal="center"/>
    </xf>
    <xf numFmtId="9" fontId="3" fillId="17" borderId="10" xfId="2" applyFont="1" applyFill="1" applyBorder="1" applyAlignment="1">
      <alignment horizontal="center"/>
    </xf>
    <xf numFmtId="44" fontId="3" fillId="0" borderId="10" xfId="1" applyFont="1" applyBorder="1" applyAlignment="1">
      <alignment horizontal="center"/>
    </xf>
    <xf numFmtId="0" fontId="3" fillId="0" borderId="0" xfId="0" applyFont="1"/>
    <xf numFmtId="0" fontId="3" fillId="0" borderId="10" xfId="0" applyFont="1" applyBorder="1"/>
    <xf numFmtId="0" fontId="3" fillId="0" borderId="10" xfId="1" applyNumberFormat="1" applyFont="1" applyFill="1" applyBorder="1" applyAlignment="1">
      <alignment horizontal="left"/>
    </xf>
    <xf numFmtId="0" fontId="3" fillId="0" borderId="10" xfId="1" applyNumberFormat="1" applyFont="1" applyFill="1" applyBorder="1"/>
    <xf numFmtId="0" fontId="3" fillId="0" borderId="0" xfId="1" applyNumberFormat="1" applyFont="1" applyFill="1" applyBorder="1"/>
    <xf numFmtId="3" fontId="3" fillId="0" borderId="0" xfId="0" applyNumberFormat="1" applyFont="1" applyAlignment="1">
      <alignment horizontal="left"/>
    </xf>
    <xf numFmtId="0" fontId="0" fillId="0" borderId="0" xfId="0" applyAlignment="1">
      <alignment horizontal="left" vertical="center"/>
    </xf>
    <xf numFmtId="0" fontId="0" fillId="25" borderId="0" xfId="0" applyFill="1"/>
    <xf numFmtId="44" fontId="5" fillId="0" borderId="26" xfId="1" applyFont="1" applyFill="1" applyBorder="1" applyAlignment="1">
      <alignment horizontal="left"/>
    </xf>
    <xf numFmtId="44" fontId="5" fillId="0" borderId="26" xfId="1" applyFont="1" applyFill="1" applyBorder="1" applyAlignment="1">
      <alignment horizontal="center"/>
    </xf>
    <xf numFmtId="0" fontId="31" fillId="0" borderId="27" xfId="5" applyBorder="1"/>
    <xf numFmtId="0" fontId="31" fillId="0" borderId="0" xfId="5" applyBorder="1"/>
    <xf numFmtId="44" fontId="31" fillId="0" borderId="10" xfId="1" applyFont="1" applyBorder="1" applyAlignment="1">
      <alignment horizontal="center"/>
    </xf>
    <xf numFmtId="9" fontId="31" fillId="0" borderId="0" xfId="5" applyNumberFormat="1" applyBorder="1" applyAlignment="1">
      <alignment horizontal="center"/>
    </xf>
    <xf numFmtId="0" fontId="31" fillId="0" borderId="0" xfId="5" applyBorder="1" applyAlignment="1">
      <alignment horizontal="center"/>
    </xf>
    <xf numFmtId="0" fontId="31" fillId="0" borderId="28" xfId="5" applyBorder="1" applyAlignment="1">
      <alignment horizontal="left"/>
    </xf>
    <xf numFmtId="9" fontId="31" fillId="0" borderId="28" xfId="5" applyNumberFormat="1" applyBorder="1" applyAlignment="1">
      <alignment horizontal="center"/>
    </xf>
    <xf numFmtId="0" fontId="31" fillId="0" borderId="28" xfId="5" applyBorder="1" applyAlignment="1">
      <alignment horizontal="center"/>
    </xf>
    <xf numFmtId="0" fontId="2" fillId="0" borderId="0" xfId="0" applyFont="1"/>
    <xf numFmtId="0" fontId="63" fillId="0" borderId="28" xfId="0" applyFont="1" applyBorder="1"/>
    <xf numFmtId="0" fontId="2" fillId="0" borderId="0" xfId="0" applyFont="1" applyAlignment="1">
      <alignment horizontal="center"/>
    </xf>
    <xf numFmtId="44" fontId="0" fillId="0" borderId="10" xfId="1" applyFont="1" applyBorder="1" applyAlignment="1">
      <alignment horizontal="center"/>
    </xf>
    <xf numFmtId="14" fontId="0" fillId="0" borderId="0" xfId="0" applyNumberFormat="1"/>
    <xf numFmtId="0" fontId="64" fillId="0" borderId="0" xfId="5" applyFont="1" applyFill="1" applyAlignment="1">
      <alignment horizontal="centerContinuous"/>
    </xf>
    <xf numFmtId="0" fontId="65" fillId="0" borderId="0" xfId="5" applyFont="1" applyFill="1" applyAlignment="1">
      <alignment horizontal="centerContinuous"/>
    </xf>
    <xf numFmtId="37" fontId="67" fillId="27" borderId="30" xfId="7" applyNumberFormat="1" applyFont="1" applyFill="1" applyAlignment="1">
      <alignment horizontal="center"/>
    </xf>
    <xf numFmtId="14" fontId="67" fillId="27" borderId="30" xfId="7" applyNumberFormat="1" applyFont="1" applyFill="1" applyAlignment="1">
      <alignment horizontal="center"/>
    </xf>
    <xf numFmtId="44" fontId="67" fillId="27" borderId="30" xfId="1" applyFont="1" applyFill="1" applyBorder="1" applyAlignment="1">
      <alignment horizontal="center"/>
    </xf>
    <xf numFmtId="9" fontId="67" fillId="27" borderId="30" xfId="2" applyFont="1" applyFill="1" applyBorder="1" applyAlignment="1">
      <alignment horizontal="center"/>
    </xf>
    <xf numFmtId="0" fontId="0" fillId="19" borderId="0" xfId="0" applyFill="1"/>
    <xf numFmtId="0" fontId="0" fillId="19" borderId="0" xfId="0" applyFill="1" applyAlignment="1">
      <alignment horizontal="center"/>
    </xf>
    <xf numFmtId="0" fontId="66" fillId="19" borderId="0" xfId="0" applyFont="1" applyFill="1" applyAlignment="1">
      <alignment horizontal="left"/>
    </xf>
    <xf numFmtId="0" fontId="7" fillId="19" borderId="0" xfId="0" applyFont="1" applyFill="1"/>
    <xf numFmtId="44" fontId="31" fillId="0" borderId="0" xfId="1" applyFont="1" applyBorder="1" applyAlignment="1">
      <alignment horizontal="center"/>
    </xf>
    <xf numFmtId="44" fontId="60" fillId="6" borderId="10" xfId="5" applyNumberFormat="1" applyFont="1" applyFill="1" applyBorder="1" applyAlignment="1">
      <alignment horizontal="center"/>
    </xf>
    <xf numFmtId="44" fontId="31" fillId="6" borderId="10" xfId="1" applyFont="1" applyFill="1" applyBorder="1" applyAlignment="1">
      <alignment horizontal="center"/>
    </xf>
    <xf numFmtId="9" fontId="31" fillId="6" borderId="29" xfId="2" applyFont="1" applyFill="1" applyBorder="1" applyAlignment="1">
      <alignment horizontal="center"/>
    </xf>
    <xf numFmtId="44" fontId="31" fillId="6" borderId="10" xfId="5" applyNumberFormat="1" applyFill="1" applyBorder="1"/>
    <xf numFmtId="169" fontId="31" fillId="6" borderId="10" xfId="5" applyNumberFormat="1" applyFill="1" applyBorder="1" applyAlignment="1">
      <alignment horizontal="center"/>
    </xf>
    <xf numFmtId="0" fontId="0" fillId="17" borderId="0" xfId="0" applyFill="1"/>
    <xf numFmtId="0" fontId="7" fillId="17" borderId="0" xfId="0" applyFont="1" applyFill="1"/>
    <xf numFmtId="44" fontId="0" fillId="0" borderId="0" xfId="0" applyNumberFormat="1"/>
    <xf numFmtId="44" fontId="0" fillId="17" borderId="0" xfId="0" applyNumberFormat="1" applyFill="1"/>
    <xf numFmtId="44" fontId="31" fillId="6" borderId="18" xfId="5" applyNumberFormat="1" applyFill="1" applyBorder="1"/>
    <xf numFmtId="0" fontId="7" fillId="19" borderId="1" xfId="0" applyFont="1" applyFill="1" applyBorder="1" applyAlignment="1">
      <alignment horizontal="center"/>
    </xf>
    <xf numFmtId="0" fontId="36" fillId="19" borderId="1" xfId="0" applyFont="1" applyFill="1" applyBorder="1" applyAlignment="1">
      <alignment horizontal="center"/>
    </xf>
    <xf numFmtId="44" fontId="3" fillId="17" borderId="18" xfId="2" applyNumberFormat="1" applyFont="1" applyFill="1" applyBorder="1" applyAlignment="1">
      <alignment horizontal="center"/>
    </xf>
    <xf numFmtId="0" fontId="31" fillId="0" borderId="0" xfId="0" applyFont="1"/>
    <xf numFmtId="9" fontId="1" fillId="0" borderId="10" xfId="2" applyFont="1" applyBorder="1" applyAlignment="1">
      <alignment horizontal="center"/>
    </xf>
    <xf numFmtId="14" fontId="0" fillId="0" borderId="10" xfId="1" applyNumberFormat="1" applyFont="1" applyBorder="1" applyAlignment="1">
      <alignment horizontal="center"/>
    </xf>
    <xf numFmtId="0" fontId="8" fillId="0" borderId="0" xfId="0" applyFont="1" applyAlignment="1">
      <alignment horizontal="center"/>
    </xf>
    <xf numFmtId="0" fontId="11" fillId="0" borderId="0" xfId="0" applyFont="1" applyAlignment="1">
      <alignment horizontal="center"/>
    </xf>
    <xf numFmtId="0" fontId="10" fillId="0" borderId="0" xfId="0" applyFont="1" applyAlignment="1">
      <alignment horizontal="center"/>
    </xf>
    <xf numFmtId="165" fontId="10" fillId="0" borderId="0" xfId="0" applyNumberFormat="1" applyFont="1" applyAlignment="1">
      <alignment horizontal="center"/>
    </xf>
    <xf numFmtId="0" fontId="7" fillId="19" borderId="0" xfId="0" applyFont="1" applyFill="1" applyAlignment="1">
      <alignment horizontal="center"/>
    </xf>
    <xf numFmtId="0" fontId="29" fillId="19" borderId="0" xfId="0" applyFont="1" applyFill="1" applyAlignment="1">
      <alignment horizontal="center"/>
    </xf>
    <xf numFmtId="44" fontId="60" fillId="6" borderId="25" xfId="5" applyNumberFormat="1" applyFont="1" applyFill="1" applyBorder="1" applyAlignment="1">
      <alignment horizontal="left"/>
    </xf>
    <xf numFmtId="44" fontId="60" fillId="6" borderId="0" xfId="5" applyNumberFormat="1" applyFont="1" applyFill="1" applyBorder="1" applyAlignment="1">
      <alignment horizontal="left"/>
    </xf>
    <xf numFmtId="0" fontId="40" fillId="0" borderId="0" xfId="0" applyFont="1" applyAlignment="1">
      <alignment horizontal="left"/>
    </xf>
    <xf numFmtId="0" fontId="18" fillId="19" borderId="0" xfId="0" applyFont="1" applyFill="1" applyAlignment="1">
      <alignment horizontal="left"/>
    </xf>
    <xf numFmtId="0" fontId="55" fillId="0" borderId="0" xfId="0" applyFont="1" applyAlignment="1">
      <alignment horizontal="center" vertical="top"/>
    </xf>
    <xf numFmtId="0" fontId="58" fillId="0" borderId="0" xfId="0" applyFont="1" applyAlignment="1">
      <alignment horizontal="center" vertical="center"/>
    </xf>
    <xf numFmtId="0" fontId="59" fillId="0" borderId="0" xfId="0" applyFont="1" applyAlignment="1">
      <alignment horizontal="center" vertical="center"/>
    </xf>
    <xf numFmtId="165" fontId="59" fillId="0" borderId="0" xfId="0" applyNumberFormat="1" applyFont="1" applyAlignment="1">
      <alignment horizontal="center" vertical="center"/>
    </xf>
    <xf numFmtId="44" fontId="55" fillId="0" borderId="0" xfId="0" applyNumberFormat="1" applyFont="1" applyAlignment="1">
      <alignment horizontal="center" vertical="top"/>
    </xf>
    <xf numFmtId="0" fontId="55" fillId="0" borderId="0" xfId="0" applyFont="1" applyAlignment="1">
      <alignment horizontal="left" vertical="top"/>
    </xf>
    <xf numFmtId="0" fontId="0" fillId="0" borderId="0" xfId="0" applyAlignment="1">
      <alignment horizontal="left" vertical="center" wrapText="1"/>
    </xf>
    <xf numFmtId="0" fontId="38"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left"/>
    </xf>
    <xf numFmtId="167" fontId="3" fillId="0" borderId="11" xfId="0" applyNumberFormat="1" applyFont="1" applyBorder="1" applyAlignment="1">
      <alignment horizontal="left"/>
    </xf>
    <xf numFmtId="167" fontId="3" fillId="0" borderId="12" xfId="0" applyNumberFormat="1" applyFont="1" applyBorder="1" applyAlignment="1">
      <alignment horizontal="left"/>
    </xf>
    <xf numFmtId="167" fontId="3" fillId="0" borderId="13" xfId="0" applyNumberFormat="1" applyFont="1" applyBorder="1" applyAlignment="1">
      <alignment horizontal="left"/>
    </xf>
  </cellXfs>
  <cellStyles count="8">
    <cellStyle name="Bad" xfId="6" builtinId="27" customBuiltin="1"/>
    <cellStyle name="Currency" xfId="1" builtinId="4"/>
    <cellStyle name="Explanatory Text" xfId="5" builtinId="53"/>
    <cellStyle name="Hyperlink" xfId="3" builtinId="8"/>
    <cellStyle name="Input" xfId="4" builtinId="20" customBuiltin="1"/>
    <cellStyle name="Normal" xfId="0" builtinId="0"/>
    <cellStyle name="Note" xfId="7" builtinId="10"/>
    <cellStyle name="Percent" xfId="2" builtinId="5"/>
  </cellStyles>
  <dxfs count="261">
    <dxf>
      <font>
        <color auto="1"/>
      </font>
      <fill>
        <patternFill>
          <bgColor theme="5" tint="0.79998168889431442"/>
        </patternFill>
      </fill>
    </dxf>
    <dxf>
      <fill>
        <patternFill>
          <bgColor rgb="FFFF0000"/>
        </patternFill>
      </fill>
    </dxf>
    <dxf>
      <fill>
        <patternFill>
          <bgColor rgb="FFC00000"/>
        </patternFill>
      </fill>
    </dxf>
    <dxf>
      <font>
        <color auto="1"/>
      </font>
      <fill>
        <patternFill>
          <bgColor theme="9" tint="0.79998168889431442"/>
        </patternFill>
      </fill>
    </dxf>
    <dxf>
      <fill>
        <patternFill>
          <bgColor theme="9" tint="0.39994506668294322"/>
        </patternFill>
      </fill>
    </dxf>
    <dxf>
      <fill>
        <patternFill>
          <bgColor theme="9" tint="-0.24994659260841701"/>
        </patternFill>
      </fill>
    </dxf>
    <dxf>
      <fill>
        <patternFill patternType="none">
          <bgColor auto="1"/>
        </patternFill>
      </fill>
    </dxf>
    <dxf>
      <font>
        <color auto="1"/>
      </font>
      <fill>
        <patternFill>
          <bgColor theme="5" tint="0.79998168889431442"/>
        </patternFill>
      </fill>
    </dxf>
    <dxf>
      <fill>
        <patternFill>
          <bgColor rgb="FFFF0000"/>
        </patternFill>
      </fill>
    </dxf>
    <dxf>
      <fill>
        <patternFill>
          <bgColor rgb="FFC00000"/>
        </patternFill>
      </fill>
    </dxf>
    <dxf>
      <font>
        <color auto="1"/>
      </font>
      <fill>
        <patternFill>
          <bgColor theme="9" tint="0.79998168889431442"/>
        </patternFill>
      </fill>
    </dxf>
    <dxf>
      <fill>
        <patternFill>
          <bgColor theme="9" tint="0.39994506668294322"/>
        </patternFill>
      </fill>
    </dxf>
    <dxf>
      <fill>
        <patternFill>
          <bgColor theme="9" tint="-0.24994659260841701"/>
        </patternFill>
      </fill>
    </dxf>
    <dxf>
      <fill>
        <patternFill patternType="none">
          <bgColor auto="1"/>
        </patternFill>
      </fill>
    </dxf>
    <dxf>
      <font>
        <color theme="0"/>
      </font>
      <fill>
        <patternFill patternType="none">
          <bgColor auto="1"/>
        </patternFill>
      </fill>
    </dxf>
    <dxf>
      <font>
        <color auto="1"/>
      </font>
      <fill>
        <patternFill>
          <bgColor theme="5" tint="0.79998168889431442"/>
        </patternFill>
      </fill>
    </dxf>
    <dxf>
      <fill>
        <patternFill>
          <bgColor rgb="FFFF0000"/>
        </patternFill>
      </fill>
    </dxf>
    <dxf>
      <fill>
        <patternFill>
          <bgColor rgb="FFC00000"/>
        </patternFill>
      </fill>
    </dxf>
    <dxf>
      <font>
        <color auto="1"/>
      </font>
      <fill>
        <patternFill>
          <bgColor theme="9" tint="0.79998168889431442"/>
        </patternFill>
      </fill>
    </dxf>
    <dxf>
      <fill>
        <patternFill>
          <bgColor theme="9" tint="0.39994506668294322"/>
        </patternFill>
      </fill>
    </dxf>
    <dxf>
      <fill>
        <patternFill>
          <bgColor theme="9" tint="-0.24994659260841701"/>
        </patternFill>
      </fill>
    </dxf>
    <dxf>
      <fill>
        <patternFill patternType="none">
          <bgColor auto="1"/>
        </patternFill>
      </fill>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ill>
        <patternFill patternType="none">
          <fgColor indexed="64"/>
          <bgColor auto="1"/>
        </patternFill>
      </fill>
    </dxf>
    <dxf>
      <fill>
        <patternFill patternType="none">
          <fgColor indexed="64"/>
          <bgColor auto="1"/>
        </patternFill>
      </fill>
    </dxf>
    <dxf>
      <fill>
        <patternFill patternType="solid">
          <fgColor indexed="64"/>
          <bgColor theme="7" tint="0.39997558519241921"/>
        </patternFill>
      </fill>
      <alignment horizontal="center" vertical="bottom" textRotation="0" wrapText="0" indent="0" justifyLastLine="0" shrinkToFit="0" readingOrder="0"/>
    </dxf>
    <dxf>
      <numFmt numFmtId="13" formatCode="0%"/>
      <fill>
        <patternFill patternType="none">
          <fgColor indexed="64"/>
          <bgColor auto="1"/>
        </patternFill>
      </fill>
    </dxf>
    <dxf>
      <fill>
        <patternFill patternType="none">
          <fgColor indexed="64"/>
          <bgColor auto="1"/>
        </patternFill>
      </fill>
    </dxf>
    <dxf>
      <border outline="0">
        <top style="thin">
          <color theme="5" tint="0.39997558519241921"/>
        </top>
      </border>
    </dxf>
    <dxf>
      <fill>
        <patternFill patternType="none">
          <fgColor indexed="64"/>
          <bgColor auto="1"/>
        </patternFill>
      </fill>
    </dxf>
    <dxf>
      <border outline="0">
        <bottom style="thin">
          <color theme="5"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ED7D31"/>
        </patternFill>
      </fill>
      <alignment horizontal="general"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2"/>
        <color rgb="FFFFFFFF"/>
        <name val="Calibri"/>
        <family val="2"/>
        <scheme val="minor"/>
      </font>
      <fill>
        <patternFill patternType="solid">
          <fgColor indexed="64"/>
          <bgColor rgb="FF7030A0"/>
        </patternFill>
      </fill>
      <alignment horizontal="general" vertical="bottom" textRotation="0" wrapText="0" indent="0" justifyLastLine="0" shrinkToFit="0" readingOrder="0"/>
    </dxf>
    <dxf>
      <numFmt numFmtId="13" formatCode="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rgb="FFED7D31"/>
        </patternFill>
      </fill>
      <alignment horizontal="general" vertical="bottom" textRotation="0" wrapText="0" indent="0" justifyLastLine="0" shrinkToFit="0" readingOrder="0"/>
    </dxf>
    <dxf>
      <numFmt numFmtId="13" formatCode="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rgb="FF8EA9DB"/>
        </patternFill>
      </fill>
      <alignment horizontal="general" vertical="bottom" textRotation="0" wrapText="0" indent="0" justifyLastLine="0" shrinkToFit="0" readingOrder="0"/>
    </dxf>
    <dxf>
      <numFmt numFmtId="13" formatCode="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rgb="FF8EA9DB"/>
        </patternFill>
      </fill>
      <alignment horizontal="general"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solid">
          <fgColor indexed="64"/>
          <bgColor theme="7" tint="0.39997558519241921"/>
        </patternFill>
      </fill>
      <alignment horizontal="center" vertical="bottom" textRotation="0" wrapText="0" indent="0" justifyLastLine="0" shrinkToFit="0" readingOrder="0"/>
    </dxf>
    <dxf>
      <numFmt numFmtId="13" formatCode="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rgb="FFA5A5A5"/>
        </patternFill>
      </fill>
      <alignment horizontal="general" vertical="bottom" textRotation="0" wrapText="0" indent="0" justifyLastLine="0" shrinkToFit="0" readingOrder="0"/>
    </dxf>
    <dxf>
      <numFmt numFmtId="13" formatCode="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rgb="FF70AD47"/>
        </patternFill>
      </fill>
      <alignment horizontal="general" vertical="bottom" textRotation="0" wrapText="0" indent="0" justifyLastLine="0" shrinkToFit="0" readingOrder="0"/>
    </dxf>
    <dxf>
      <numFmt numFmtId="13" formatCode="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rgb="FF70AD47"/>
        </patternFill>
      </fill>
      <alignment horizontal="general" vertical="bottom" textRotation="0" wrapText="0" indent="0" justifyLastLine="0" shrinkToFit="0" readingOrder="0"/>
    </dxf>
    <dxf>
      <numFmt numFmtId="13" formatCode="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rgb="FF70AD47"/>
        </patternFill>
      </fill>
      <alignment horizontal="general" vertical="bottom" textRotation="0" wrapText="0" indent="0" justifyLastLine="0" shrinkToFit="0" readingOrder="0"/>
    </dxf>
    <dxf>
      <numFmt numFmtId="13" formatCode="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rgb="FF4472C4"/>
        </patternFill>
      </fill>
      <alignment horizontal="general" vertical="bottom" textRotation="0" wrapText="0" indent="0" justifyLastLine="0" shrinkToFit="0" readingOrder="0"/>
    </dxf>
    <dxf>
      <numFmt numFmtId="13" formatCode="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rgb="FF4472C4"/>
        </patternFill>
      </fill>
      <alignment horizontal="general" vertical="bottom" textRotation="0" wrapText="0" indent="0" justifyLastLine="0" shrinkToFit="0" readingOrder="0"/>
    </dxf>
    <dxf>
      <numFmt numFmtId="13" formatCode="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rgb="FF4472C4"/>
        </patternFill>
      </fill>
      <alignment horizontal="general"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4"/>
        <color theme="0"/>
        <name val="Calibri"/>
        <family val="2"/>
        <scheme val="minor"/>
      </font>
      <fill>
        <patternFill patternType="solid">
          <fgColor indexed="64"/>
          <bgColor theme="3"/>
        </patternFill>
      </fill>
    </dxf>
    <dxf>
      <border outline="0">
        <top style="thin">
          <color rgb="FFC9C9C9"/>
        </top>
      </border>
    </dxf>
    <dxf>
      <border outline="0">
        <bottom style="thin">
          <color rgb="FFC9C9C9"/>
        </bottom>
      </border>
    </dxf>
    <dxf>
      <font>
        <b/>
        <i val="0"/>
        <strike val="0"/>
        <condense val="0"/>
        <extend val="0"/>
        <outline val="0"/>
        <shadow val="0"/>
        <u val="none"/>
        <vertAlign val="baseline"/>
        <sz val="14"/>
        <color theme="0"/>
        <name val="Calibri"/>
        <family val="2"/>
        <scheme val="minor"/>
      </font>
      <fill>
        <patternFill patternType="solid">
          <fgColor indexed="64"/>
          <bgColor theme="3"/>
        </patternFill>
      </fill>
    </dxf>
    <dxf>
      <border outline="0">
        <bottom style="thin">
          <color rgb="FFC9C9C9"/>
        </bottom>
      </border>
    </dxf>
    <dxf>
      <font>
        <b/>
        <i val="0"/>
        <strike val="0"/>
        <condense val="0"/>
        <extend val="0"/>
        <outline val="0"/>
        <shadow val="0"/>
        <u val="none"/>
        <vertAlign val="baseline"/>
        <sz val="14"/>
        <color theme="0"/>
        <name val="Calibri"/>
        <family val="2"/>
        <scheme val="minor"/>
      </font>
      <fill>
        <patternFill patternType="solid">
          <fgColor indexed="64"/>
          <bgColor theme="3"/>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6" tint="0.39997558519241921"/>
        </top>
        <bottom style="thin">
          <color theme="6"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6" tint="0.39997558519241921"/>
        </top>
        <bottom style="thin">
          <color theme="6"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6" tint="0.39997558519241921"/>
        </top>
        <bottom style="thin">
          <color theme="6" tint="0.39997558519241921"/>
        </bottom>
      </border>
    </dxf>
    <dxf>
      <border outline="0">
        <top style="thin">
          <color rgb="FFC9C9C9"/>
        </top>
      </border>
    </dxf>
    <dxf>
      <border outline="0">
        <left style="thin">
          <color rgb="FFC9C9C9"/>
        </left>
        <top style="thin">
          <color rgb="FFC9C9C9"/>
        </top>
        <bottom style="thin">
          <color rgb="FFC9C9C9"/>
        </bottom>
      </border>
    </dxf>
    <dxf>
      <font>
        <b val="0"/>
        <i val="0"/>
        <strike val="0"/>
        <condense val="0"/>
        <extend val="0"/>
        <outline val="0"/>
        <shadow val="0"/>
        <u val="none"/>
        <vertAlign val="baseline"/>
        <sz val="11"/>
        <color rgb="FF000000"/>
        <name val="Calibri"/>
        <family val="2"/>
        <scheme val="none"/>
      </font>
      <fill>
        <patternFill patternType="solid">
          <fgColor rgb="FFEDEDED"/>
          <bgColor rgb="FFEDEDED"/>
        </patternFill>
      </fill>
    </dxf>
    <dxf>
      <border outline="0">
        <bottom style="thin">
          <color rgb="FFC9C9C9"/>
        </bottom>
      </border>
    </dxf>
    <dxf>
      <font>
        <b/>
        <i val="0"/>
        <strike val="0"/>
        <condense val="0"/>
        <extend val="0"/>
        <outline val="0"/>
        <shadow val="0"/>
        <u val="none"/>
        <vertAlign val="baseline"/>
        <sz val="14"/>
        <color theme="0"/>
        <name val="Calibri"/>
        <family val="2"/>
        <scheme val="minor"/>
      </font>
      <fill>
        <patternFill patternType="solid">
          <fgColor indexed="64"/>
          <bgColor theme="3"/>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6" tint="0.39997558519241921"/>
        </top>
        <bottom style="thin">
          <color theme="6"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6" tint="0.39997558519241921"/>
        </top>
        <bottom style="thin">
          <color theme="6"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6" tint="0.39997558519241921"/>
        </top>
        <bottom style="thin">
          <color theme="6" tint="0.39997558519241921"/>
        </bottom>
      </border>
    </dxf>
    <dxf>
      <border outline="0">
        <top style="thin">
          <color rgb="FFC9C9C9"/>
        </top>
      </border>
    </dxf>
    <dxf>
      <border outline="0">
        <left style="thin">
          <color rgb="FFC9C9C9"/>
        </left>
        <top style="thin">
          <color rgb="FFC9C9C9"/>
        </top>
        <bottom style="thin">
          <color rgb="FFC9C9C9"/>
        </bottom>
      </border>
    </dxf>
    <dxf>
      <font>
        <b val="0"/>
        <i val="0"/>
        <strike val="0"/>
        <condense val="0"/>
        <extend val="0"/>
        <outline val="0"/>
        <shadow val="0"/>
        <u val="none"/>
        <vertAlign val="baseline"/>
        <sz val="11"/>
        <color rgb="FF000000"/>
        <name val="Calibri"/>
        <family val="2"/>
        <scheme val="none"/>
      </font>
      <fill>
        <patternFill patternType="solid">
          <fgColor rgb="FFEDEDED"/>
          <bgColor rgb="FFEDEDED"/>
        </patternFill>
      </fill>
    </dxf>
    <dxf>
      <border outline="0">
        <bottom style="thin">
          <color rgb="FFC9C9C9"/>
        </bottom>
      </border>
    </dxf>
    <dxf>
      <font>
        <b/>
        <i val="0"/>
        <strike val="0"/>
        <condense val="0"/>
        <extend val="0"/>
        <outline val="0"/>
        <shadow val="0"/>
        <u val="none"/>
        <vertAlign val="baseline"/>
        <sz val="14"/>
        <color theme="0"/>
        <name val="Calibri"/>
        <family val="2"/>
        <scheme val="minor"/>
      </font>
      <fill>
        <patternFill patternType="solid">
          <fgColor indexed="64"/>
          <bgColor theme="3"/>
        </patternFill>
      </fill>
    </dxf>
    <dxf>
      <fill>
        <patternFill patternType="none">
          <fgColor indexed="64"/>
          <bgColor auto="1"/>
        </patternFill>
      </fill>
    </dxf>
    <dxf>
      <fill>
        <patternFill patternType="none">
          <fgColor indexed="64"/>
          <bgColor auto="1"/>
        </patternFill>
      </fill>
    </dxf>
    <dxf>
      <fill>
        <patternFill patternType="none">
          <fgColor rgb="FF000000"/>
          <bgColor auto="1"/>
        </patternFill>
      </fill>
    </dxf>
    <dxf>
      <font>
        <b val="0"/>
        <i val="0"/>
        <strike val="0"/>
        <condense val="0"/>
        <extend val="0"/>
        <outline val="0"/>
        <shadow val="0"/>
        <u val="none"/>
        <vertAlign val="baseline"/>
        <sz val="14"/>
        <color theme="0"/>
        <name val="Calibri"/>
        <family val="2"/>
        <scheme val="minor"/>
      </font>
      <fill>
        <patternFill patternType="solid">
          <fgColor indexed="64"/>
          <bgColor theme="3"/>
        </patternFill>
      </fill>
    </dxf>
    <dxf>
      <font>
        <b/>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4"/>
        <color theme="0"/>
        <name val="Calibri"/>
        <family val="2"/>
        <scheme val="minor"/>
      </font>
      <fill>
        <patternFill patternType="solid">
          <fgColor indexed="64"/>
          <bgColor theme="3"/>
        </patternFill>
      </fill>
    </dxf>
    <dxf>
      <border outline="0">
        <top style="thin">
          <color theme="6" tint="0.39997558519241921"/>
        </top>
      </border>
    </dxf>
    <dxf>
      <border outline="0">
        <bottom style="thin">
          <color theme="6" tint="0.39997558519241921"/>
        </bottom>
      </border>
    </dxf>
    <dxf>
      <font>
        <b/>
        <i val="0"/>
        <strike val="0"/>
        <condense val="0"/>
        <extend val="0"/>
        <outline val="0"/>
        <shadow val="0"/>
        <u val="none"/>
        <vertAlign val="baseline"/>
        <sz val="14"/>
        <color theme="0"/>
        <name val="Calibri"/>
        <family val="2"/>
        <scheme val="minor"/>
      </font>
      <fill>
        <patternFill patternType="solid">
          <fgColor indexed="64"/>
          <bgColor theme="3"/>
        </patternFill>
      </fill>
    </dxf>
    <dxf>
      <border outline="0">
        <bottom style="thin">
          <color theme="6" tint="0.39997558519241921"/>
        </bottom>
      </border>
    </dxf>
    <dxf>
      <font>
        <b/>
        <i val="0"/>
        <strike val="0"/>
        <condense val="0"/>
        <extend val="0"/>
        <outline val="0"/>
        <shadow val="0"/>
        <u val="none"/>
        <vertAlign val="baseline"/>
        <sz val="14"/>
        <color theme="0"/>
        <name val="Calibri"/>
        <family val="2"/>
        <scheme val="minor"/>
      </font>
      <fill>
        <patternFill patternType="solid">
          <fgColor indexed="64"/>
          <bgColor theme="3"/>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6" tint="0.39997558519241921"/>
        </top>
        <bottom style="thin">
          <color theme="6"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6" tint="0.39997558519241921"/>
        </top>
        <bottom style="thin">
          <color theme="6"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6" tint="0.39997558519241921"/>
        </top>
        <bottom style="thin">
          <color theme="6" tint="0.39997558519241921"/>
        </bottom>
      </border>
    </dxf>
    <dxf>
      <border outline="0">
        <top style="thin">
          <color theme="6" tint="0.39997558519241921"/>
        </top>
      </border>
    </dxf>
    <dxf>
      <border outline="0">
        <left style="thin">
          <color theme="6" tint="0.39997558519241921"/>
        </left>
        <top style="thin">
          <color theme="6" tint="0.39997558519241921"/>
        </top>
        <bottom style="thin">
          <color theme="6" tint="0.39997558519241921"/>
        </bottom>
      </border>
    </dxf>
    <dxf>
      <font>
        <b val="0"/>
        <i val="0"/>
        <strike val="0"/>
        <condense val="0"/>
        <extend val="0"/>
        <outline val="0"/>
        <shadow val="0"/>
        <u val="none"/>
        <vertAlign val="baseline"/>
        <sz val="11"/>
        <color theme="1"/>
        <name val="Calibri"/>
        <family val="2"/>
        <scheme val="minor"/>
      </font>
      <fill>
        <patternFill patternType="solid">
          <fgColor theme="6" tint="0.79998168889431442"/>
          <bgColor theme="6" tint="0.79998168889431442"/>
        </patternFill>
      </fill>
    </dxf>
    <dxf>
      <border outline="0">
        <bottom style="thin">
          <color theme="6" tint="0.39997558519241921"/>
        </bottom>
      </border>
    </dxf>
    <dxf>
      <font>
        <b/>
        <i val="0"/>
        <strike val="0"/>
        <condense val="0"/>
        <extend val="0"/>
        <outline val="0"/>
        <shadow val="0"/>
        <u val="none"/>
        <vertAlign val="baseline"/>
        <sz val="14"/>
        <color theme="0"/>
        <name val="Calibri"/>
        <family val="2"/>
        <scheme val="minor"/>
      </font>
      <fill>
        <patternFill patternType="solid">
          <fgColor indexed="64"/>
          <bgColor theme="3"/>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6" tint="0.39997558519241921"/>
        </top>
        <bottom style="thin">
          <color theme="6"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6" tint="0.39997558519241921"/>
        </top>
        <bottom style="thin">
          <color theme="6"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6" tint="0.39997558519241921"/>
        </top>
        <bottom style="thin">
          <color theme="6" tint="0.39997558519241921"/>
        </bottom>
      </border>
    </dxf>
    <dxf>
      <border outline="0">
        <top style="thin">
          <color theme="6" tint="0.39997558519241921"/>
        </top>
      </border>
    </dxf>
    <dxf>
      <border outline="0">
        <left style="thin">
          <color theme="6" tint="0.39997558519241921"/>
        </left>
        <top style="thin">
          <color theme="6" tint="0.39997558519241921"/>
        </top>
        <bottom style="thin">
          <color theme="6" tint="0.39997558519241921"/>
        </bottom>
      </border>
    </dxf>
    <dxf>
      <font>
        <b val="0"/>
        <i val="0"/>
        <strike val="0"/>
        <condense val="0"/>
        <extend val="0"/>
        <outline val="0"/>
        <shadow val="0"/>
        <u val="none"/>
        <vertAlign val="baseline"/>
        <sz val="11"/>
        <color theme="1"/>
        <name val="Calibri"/>
        <family val="2"/>
        <scheme val="minor"/>
      </font>
      <fill>
        <patternFill patternType="solid">
          <fgColor theme="6" tint="0.79998168889431442"/>
          <bgColor theme="6" tint="0.79998168889431442"/>
        </patternFill>
      </fill>
    </dxf>
    <dxf>
      <border outline="0">
        <bottom style="thin">
          <color theme="6" tint="0.39997558519241921"/>
        </bottom>
      </border>
    </dxf>
    <dxf>
      <font>
        <b/>
        <i val="0"/>
        <strike val="0"/>
        <condense val="0"/>
        <extend val="0"/>
        <outline val="0"/>
        <shadow val="0"/>
        <u val="none"/>
        <vertAlign val="baseline"/>
        <sz val="14"/>
        <color theme="0"/>
        <name val="Calibri"/>
        <family val="2"/>
        <scheme val="minor"/>
      </font>
      <fill>
        <patternFill patternType="solid">
          <fgColor indexed="64"/>
          <bgColor theme="3"/>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4"/>
        <color theme="0"/>
        <name val="Calibri"/>
        <family val="2"/>
        <scheme val="minor"/>
      </font>
      <fill>
        <patternFill patternType="solid">
          <fgColor indexed="64"/>
          <bgColor theme="3"/>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numFmt numFmtId="34" formatCode="_(&quot;$&quot;* #,##0.00_);_(&quot;$&quot;* \(#,##0.00\);_(&quot;$&quot;* &quot;-&quot;??_);_(@_)"/>
      <fill>
        <patternFill patternType="solid">
          <fgColor indexed="64"/>
          <bgColor theme="0" tint="-4.9989318521683403E-2"/>
        </patternFill>
      </fill>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font>
        <b val="0"/>
        <i val="0"/>
        <strike val="0"/>
        <condense val="0"/>
        <extend val="0"/>
        <outline val="0"/>
        <shadow val="0"/>
        <u val="none"/>
        <vertAlign val="baseline"/>
        <sz val="11"/>
        <color rgb="FF0000FF"/>
        <name val="Calibri"/>
        <family val="2"/>
        <scheme val="minor"/>
      </font>
      <fill>
        <patternFill patternType="solid">
          <fgColor indexed="64"/>
          <bgColor rgb="FFFFFF99"/>
        </patternFill>
      </fill>
      <alignment horizontal="center" vertical="bottom" textRotation="0" wrapText="0" indent="0" justifyLastLine="0" shrinkToFit="0" readingOrder="0"/>
      <border diagonalUp="0" diagonalDown="0">
        <left style="thin">
          <color rgb="FFB2B2B2"/>
        </left>
        <right style="thin">
          <color rgb="FFB2B2B2"/>
        </right>
        <top style="thin">
          <color rgb="FFB2B2B2"/>
        </top>
        <bottom style="thin">
          <color rgb="FFB2B2B2"/>
        </bottom>
        <vertical/>
        <horizontal/>
      </border>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numFmt numFmtId="34" formatCode="_(&quot;$&quot;* #,##0.00_);_(&quot;$&quot;* \(#,##0.00\);_(&quot;$&quot;* &quot;-&quot;??_);_(@_)"/>
      <fill>
        <patternFill patternType="solid">
          <fgColor indexed="64"/>
          <bgColor theme="0" tint="-4.9989318521683403E-2"/>
        </patternFill>
      </fill>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font>
        <b val="0"/>
        <i val="0"/>
        <strike val="0"/>
        <condense val="0"/>
        <extend val="0"/>
        <outline val="0"/>
        <shadow val="0"/>
        <u val="none"/>
        <vertAlign val="baseline"/>
        <sz val="11"/>
        <color rgb="FF0000FF"/>
        <name val="Calibri"/>
        <family val="2"/>
        <scheme val="minor"/>
      </font>
      <fill>
        <patternFill patternType="solid">
          <fgColor indexed="64"/>
          <bgColor rgb="FFFFFF99"/>
        </patternFill>
      </fill>
      <alignment horizontal="center" vertical="bottom" textRotation="0" wrapText="0" indent="0" justifyLastLine="0" shrinkToFit="0" readingOrder="0"/>
      <border diagonalUp="0" diagonalDown="0">
        <left style="thin">
          <color rgb="FFB2B2B2"/>
        </left>
        <right style="thin">
          <color rgb="FFB2B2B2"/>
        </right>
        <top style="thin">
          <color rgb="FFB2B2B2"/>
        </top>
        <bottom style="thin">
          <color rgb="FFB2B2B2"/>
        </bottom>
        <vertical/>
        <horizontal/>
      </border>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numFmt numFmtId="34" formatCode="_(&quot;$&quot;* #,##0.00_);_(&quot;$&quot;* \(#,##0.00\);_(&quot;$&quot;* &quot;-&quot;??_);_(@_)"/>
      <fill>
        <patternFill patternType="solid">
          <fgColor indexed="64"/>
          <bgColor theme="0" tint="-4.9989318521683403E-2"/>
        </patternFill>
      </fill>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font>
        <b val="0"/>
        <i val="0"/>
        <strike val="0"/>
        <condense val="0"/>
        <extend val="0"/>
        <outline val="0"/>
        <shadow val="0"/>
        <u val="none"/>
        <vertAlign val="baseline"/>
        <sz val="11"/>
        <color rgb="FF0000FF"/>
        <name val="Calibri"/>
        <family val="2"/>
        <scheme val="minor"/>
      </font>
      <fill>
        <patternFill patternType="solid">
          <fgColor indexed="64"/>
          <bgColor rgb="FFFFFF99"/>
        </patternFill>
      </fill>
      <alignment horizontal="center" vertical="bottom" textRotation="0" wrapText="0" indent="0" justifyLastLine="0" shrinkToFit="0" readingOrder="0"/>
      <border diagonalUp="0" diagonalDown="0">
        <left style="thin">
          <color rgb="FFB2B2B2"/>
        </left>
        <right style="thin">
          <color rgb="FFB2B2B2"/>
        </right>
        <top style="thin">
          <color rgb="FFB2B2B2"/>
        </top>
        <bottom style="thin">
          <color rgb="FFB2B2B2"/>
        </bottom>
        <vertical/>
        <horizontal/>
      </border>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numFmt numFmtId="34" formatCode="_(&quot;$&quot;* #,##0.00_);_(&quot;$&quot;* \(#,##0.00\);_(&quot;$&quot;* &quot;-&quot;??_);_(@_)"/>
      <fill>
        <patternFill patternType="solid">
          <fgColor indexed="64"/>
          <bgColor theme="0" tint="-4.9989318521683403E-2"/>
        </patternFill>
      </fill>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font>
        <b val="0"/>
        <i val="0"/>
        <strike val="0"/>
        <condense val="0"/>
        <extend val="0"/>
        <outline val="0"/>
        <shadow val="0"/>
        <u val="none"/>
        <vertAlign val="baseline"/>
        <sz val="11"/>
        <color rgb="FF0000FF"/>
        <name val="Calibri"/>
        <family val="2"/>
        <scheme val="minor"/>
      </font>
      <fill>
        <patternFill patternType="solid">
          <fgColor indexed="64"/>
          <bgColor rgb="FFFFFF99"/>
        </patternFill>
      </fill>
      <alignment horizontal="center" vertical="bottom" textRotation="0" wrapText="0" indent="0" justifyLastLine="0" shrinkToFit="0" readingOrder="0"/>
      <border diagonalUp="0" diagonalDown="0">
        <left style="thin">
          <color rgb="FFB2B2B2"/>
        </left>
        <right style="thin">
          <color rgb="FFB2B2B2"/>
        </right>
        <top style="thin">
          <color rgb="FFB2B2B2"/>
        </top>
        <bottom style="thin">
          <color rgb="FFB2B2B2"/>
        </bottom>
        <vertical/>
        <horizontal/>
      </border>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numFmt numFmtId="34" formatCode="_(&quot;$&quot;* #,##0.00_);_(&quot;$&quot;* \(#,##0.00\);_(&quot;$&quot;* &quot;-&quot;??_);_(@_)"/>
      <fill>
        <patternFill patternType="solid">
          <fgColor indexed="64"/>
          <bgColor theme="0" tint="-4.9989318521683403E-2"/>
        </patternFill>
      </fill>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font>
        <b val="0"/>
        <i val="0"/>
        <strike val="0"/>
        <condense val="0"/>
        <extend val="0"/>
        <outline val="0"/>
        <shadow val="0"/>
        <u val="none"/>
        <vertAlign val="baseline"/>
        <sz val="11"/>
        <color rgb="FF0000FF"/>
        <name val="Calibri"/>
        <family val="2"/>
        <scheme val="minor"/>
      </font>
      <fill>
        <patternFill patternType="solid">
          <fgColor indexed="64"/>
          <bgColor rgb="FFFFFF99"/>
        </patternFill>
      </fill>
      <alignment horizontal="center" vertical="bottom" textRotation="0" wrapText="0" indent="0" justifyLastLine="0" shrinkToFit="0" readingOrder="0"/>
      <border diagonalUp="0" diagonalDown="0">
        <left style="thin">
          <color rgb="FFB2B2B2"/>
        </left>
        <right style="thin">
          <color rgb="FFB2B2B2"/>
        </right>
        <top style="thin">
          <color rgb="FFB2B2B2"/>
        </top>
        <bottom style="thin">
          <color rgb="FFB2B2B2"/>
        </bottom>
        <vertical/>
        <horizontal/>
      </border>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numFmt numFmtId="34" formatCode="_(&quot;$&quot;* #,##0.00_);_(&quot;$&quot;* \(#,##0.00\);_(&quot;$&quot;* &quot;-&quot;??_);_(@_)"/>
      <fill>
        <patternFill patternType="solid">
          <fgColor indexed="64"/>
          <bgColor theme="0" tint="-4.9989318521683403E-2"/>
        </patternFill>
      </fill>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font>
        <b val="0"/>
        <i val="0"/>
        <strike val="0"/>
        <condense val="0"/>
        <extend val="0"/>
        <outline val="0"/>
        <shadow val="0"/>
        <u val="none"/>
        <vertAlign val="baseline"/>
        <sz val="11"/>
        <color rgb="FF0000FF"/>
        <name val="Calibri"/>
        <family val="2"/>
        <scheme val="minor"/>
      </font>
      <fill>
        <patternFill patternType="solid">
          <fgColor indexed="64"/>
          <bgColor rgb="FFFFFF99"/>
        </patternFill>
      </fill>
      <alignment horizontal="center" vertical="bottom" textRotation="0" wrapText="0" indent="0" justifyLastLine="0" shrinkToFit="0" readingOrder="0"/>
      <border diagonalUp="0" diagonalDown="0">
        <left style="thin">
          <color rgb="FFB2B2B2"/>
        </left>
        <right style="thin">
          <color rgb="FFB2B2B2"/>
        </right>
        <top style="thin">
          <color rgb="FFB2B2B2"/>
        </top>
        <bottom style="thin">
          <color rgb="FFB2B2B2"/>
        </bottom>
        <vertical/>
        <horizontal/>
      </border>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numFmt numFmtId="34" formatCode="_(&quot;$&quot;* #,##0.00_);_(&quot;$&quot;* \(#,##0.00\);_(&quot;$&quot;* &quot;-&quot;??_);_(@_)"/>
      <fill>
        <patternFill patternType="solid">
          <fgColor indexed="64"/>
          <bgColor theme="0" tint="-4.9989318521683403E-2"/>
        </patternFill>
      </fill>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font>
        <b val="0"/>
        <i val="0"/>
        <strike val="0"/>
        <condense val="0"/>
        <extend val="0"/>
        <outline val="0"/>
        <shadow val="0"/>
        <u val="none"/>
        <vertAlign val="baseline"/>
        <sz val="11"/>
        <color rgb="FF0000FF"/>
        <name val="Calibri"/>
        <family val="2"/>
        <scheme val="minor"/>
      </font>
      <fill>
        <patternFill patternType="solid">
          <fgColor indexed="64"/>
          <bgColor rgb="FFFFFF99"/>
        </patternFill>
      </fill>
      <alignment horizontal="center" vertical="bottom" textRotation="0" wrapText="0" indent="0" justifyLastLine="0" shrinkToFit="0" readingOrder="0"/>
      <border diagonalUp="0" diagonalDown="0">
        <left style="thin">
          <color rgb="FFB2B2B2"/>
        </left>
        <right style="thin">
          <color rgb="FFB2B2B2"/>
        </right>
        <top style="thin">
          <color rgb="FFB2B2B2"/>
        </top>
        <bottom style="thin">
          <color rgb="FFB2B2B2"/>
        </bottom>
        <vertical/>
        <horizontal/>
      </border>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numFmt numFmtId="34" formatCode="_(&quot;$&quot;* #,##0.00_);_(&quot;$&quot;* \(#,##0.00\);_(&quot;$&quot;* &quot;-&quot;??_);_(@_)"/>
      <fill>
        <patternFill patternType="solid">
          <fgColor indexed="64"/>
          <bgColor theme="0" tint="-4.9989318521683403E-2"/>
        </patternFill>
      </fill>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font>
        <b val="0"/>
        <i val="0"/>
        <strike val="0"/>
        <condense val="0"/>
        <extend val="0"/>
        <outline val="0"/>
        <shadow val="0"/>
        <u val="none"/>
        <vertAlign val="baseline"/>
        <sz val="11"/>
        <color rgb="FF0000FF"/>
        <name val="Calibri"/>
        <family val="2"/>
        <scheme val="minor"/>
      </font>
      <fill>
        <patternFill patternType="solid">
          <fgColor indexed="64"/>
          <bgColor rgb="FFFFFF99"/>
        </patternFill>
      </fill>
      <alignment horizontal="center" vertical="bottom" textRotation="0" wrapText="0" indent="0" justifyLastLine="0" shrinkToFit="0" readingOrder="0"/>
      <border diagonalUp="0" diagonalDown="0">
        <left style="thin">
          <color rgb="FFB2B2B2"/>
        </left>
        <right style="thin">
          <color rgb="FFB2B2B2"/>
        </right>
        <top style="thin">
          <color rgb="FFB2B2B2"/>
        </top>
        <bottom style="thin">
          <color rgb="FFB2B2B2"/>
        </bottom>
        <vertical/>
        <horizontal/>
      </border>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numFmt numFmtId="34" formatCode="_(&quot;$&quot;* #,##0.00_);_(&quot;$&quot;* \(#,##0.00\);_(&quot;$&quot;* &quot;-&quot;??_);_(@_)"/>
      <fill>
        <patternFill patternType="solid">
          <fgColor indexed="64"/>
          <bgColor theme="0" tint="-4.9989318521683403E-2"/>
        </patternFill>
      </fill>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font>
        <b val="0"/>
        <i val="0"/>
        <strike val="0"/>
        <condense val="0"/>
        <extend val="0"/>
        <outline val="0"/>
        <shadow val="0"/>
        <u val="none"/>
        <vertAlign val="baseline"/>
        <sz val="11"/>
        <color rgb="FF0000FF"/>
        <name val="Calibri"/>
        <family val="2"/>
        <scheme val="minor"/>
      </font>
      <fill>
        <patternFill patternType="solid">
          <fgColor indexed="64"/>
          <bgColor rgb="FFFFFF99"/>
        </patternFill>
      </fill>
      <alignment horizontal="center" vertical="bottom" textRotation="0" wrapText="0" indent="0" justifyLastLine="0" shrinkToFit="0" readingOrder="0"/>
      <border diagonalUp="0" diagonalDown="0">
        <left style="thin">
          <color rgb="FFB2B2B2"/>
        </left>
        <right style="thin">
          <color rgb="FFB2B2B2"/>
        </right>
        <top style="thin">
          <color rgb="FFB2B2B2"/>
        </top>
        <bottom style="thin">
          <color rgb="FFB2B2B2"/>
        </bottom>
        <vertical/>
        <horizontal/>
      </border>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numFmt numFmtId="34" formatCode="_(&quot;$&quot;* #,##0.00_);_(&quot;$&quot;* \(#,##0.00\);_(&quot;$&quot;* &quot;-&quot;??_);_(@_)"/>
      <fill>
        <patternFill patternType="solid">
          <fgColor indexed="64"/>
          <bgColor theme="0" tint="-4.9989318521683403E-2"/>
        </patternFill>
      </fill>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font>
        <b val="0"/>
        <i val="0"/>
        <strike val="0"/>
        <condense val="0"/>
        <extend val="0"/>
        <outline val="0"/>
        <shadow val="0"/>
        <u val="none"/>
        <vertAlign val="baseline"/>
        <sz val="11"/>
        <color rgb="FF0000FF"/>
        <name val="Calibri"/>
        <family val="2"/>
        <scheme val="minor"/>
      </font>
      <fill>
        <patternFill patternType="solid">
          <fgColor indexed="64"/>
          <bgColor rgb="FFFFFF99"/>
        </patternFill>
      </fill>
      <alignment horizontal="center" vertical="bottom" textRotation="0" wrapText="0" indent="0" justifyLastLine="0" shrinkToFit="0" readingOrder="0"/>
      <border diagonalUp="0" diagonalDown="0">
        <left style="thin">
          <color rgb="FFB2B2B2"/>
        </left>
        <right style="thin">
          <color rgb="FFB2B2B2"/>
        </right>
        <top style="thin">
          <color rgb="FFB2B2B2"/>
        </top>
        <bottom style="thin">
          <color rgb="FFB2B2B2"/>
        </bottom>
        <vertical/>
        <horizontal/>
      </border>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numFmt numFmtId="34" formatCode="_(&quot;$&quot;* #,##0.00_);_(&quot;$&quot;* \(#,##0.00\);_(&quot;$&quot;* &quot;-&quot;??_);_(@_)"/>
      <fill>
        <patternFill patternType="solid">
          <fgColor indexed="64"/>
          <bgColor theme="0" tint="-4.9989318521683403E-2"/>
        </patternFill>
      </fill>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font>
        <b val="0"/>
        <i val="0"/>
        <strike val="0"/>
        <condense val="0"/>
        <extend val="0"/>
        <outline val="0"/>
        <shadow val="0"/>
        <u val="none"/>
        <vertAlign val="baseline"/>
        <sz val="11"/>
        <color rgb="FF0000FF"/>
        <name val="Calibri"/>
        <family val="2"/>
        <scheme val="minor"/>
      </font>
      <fill>
        <patternFill patternType="solid">
          <fgColor indexed="64"/>
          <bgColor rgb="FFFFFF99"/>
        </patternFill>
      </fill>
      <alignment horizontal="center" vertical="bottom" textRotation="0" wrapText="0" indent="0" justifyLastLine="0" shrinkToFit="0" readingOrder="0"/>
      <border diagonalUp="0" diagonalDown="0">
        <left style="thin">
          <color rgb="FFB2B2B2"/>
        </left>
        <right style="thin">
          <color rgb="FFB2B2B2"/>
        </right>
        <top style="thin">
          <color rgb="FFB2B2B2"/>
        </top>
        <bottom style="thin">
          <color rgb="FFB2B2B2"/>
        </bottom>
        <vertical/>
        <horizontal/>
      </border>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numFmt numFmtId="34" formatCode="_(&quot;$&quot;* #,##0.00_);_(&quot;$&quot;* \(#,##0.00\);_(&quot;$&quot;* &quot;-&quot;??_);_(@_)"/>
      <fill>
        <patternFill patternType="solid">
          <fgColor indexed="64"/>
          <bgColor theme="0" tint="-4.9989318521683403E-2"/>
        </patternFill>
      </fill>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
      <font>
        <b val="0"/>
        <i val="0"/>
        <strike val="0"/>
        <condense val="0"/>
        <extend val="0"/>
        <outline val="0"/>
        <shadow val="0"/>
        <u val="none"/>
        <vertAlign val="baseline"/>
        <sz val="11"/>
        <color rgb="FF0000FF"/>
        <name val="Calibri"/>
        <family val="2"/>
        <scheme val="minor"/>
      </font>
      <fill>
        <patternFill patternType="solid">
          <fgColor indexed="64"/>
          <bgColor rgb="FFFFFF99"/>
        </patternFill>
      </fill>
      <alignment horizontal="center" vertical="bottom" textRotation="0" wrapText="0" indent="0" justifyLastLine="0" shrinkToFit="0" readingOrder="0"/>
      <border diagonalUp="0" diagonalDown="0">
        <left style="thin">
          <color rgb="FFB2B2B2"/>
        </left>
        <right style="thin">
          <color rgb="FFB2B2B2"/>
        </right>
        <top style="thin">
          <color rgb="FFB2B2B2"/>
        </top>
        <bottom style="thin">
          <color rgb="FFB2B2B2"/>
        </bottom>
        <vertical/>
        <horizontal/>
      </border>
    </dxf>
    <dxf>
      <font>
        <i/>
        <sz val="12"/>
        <color rgb="FF7F7F7F"/>
      </font>
      <numFmt numFmtId="34" formatCode="_(&quot;$&quot;* #,##0.00_);_(&quot;$&quot;* \(#,##0.00\);_(&quot;$&quot;* &quot;-&quot;??_);_(@_)"/>
      <fill>
        <patternFill patternType="solid">
          <fgColor indexed="64"/>
          <bgColor theme="0"/>
        </patternFill>
      </fill>
      <alignment horizontal="center" vertical="bottom" textRotation="0" wrapText="0" indent="0" justifyLastLine="0" shrinkToFit="0" readingOrder="0"/>
      <border diagonalUp="0" diagonalDown="0" outline="0">
        <left style="thin">
          <color theme="0" tint="-0.14996795556505021"/>
        </left>
        <right style="thin">
          <color theme="0" tint="-0.14996795556505021"/>
        </right>
        <top/>
        <bottom style="thin">
          <color theme="0" tint="-0.14996795556505021"/>
        </bottom>
      </border>
    </dxf>
    <dxf>
      <fill>
        <patternFill patternType="none">
          <fgColor indexed="64"/>
          <bgColor auto="1"/>
        </patternFill>
      </fill>
      <border diagonalUp="0" diagonalDown="0" outline="0">
        <left/>
        <right style="thin">
          <color theme="0" tint="-0.14996795556505021"/>
        </right>
        <top style="thin">
          <color theme="6" tint="0.39997558519241921"/>
        </top>
        <bottom/>
      </border>
    </dxf>
    <dxf>
      <fill>
        <patternFill patternType="none">
          <fgColor indexed="64"/>
          <bgColor auto="1"/>
        </patternFill>
      </fill>
      <border diagonalUp="0" diagonalDown="0" outline="0">
        <left/>
        <right/>
        <top style="thin">
          <color theme="6" tint="0.39997558519241921"/>
        </top>
        <bottom/>
      </border>
    </dxf>
    <dxf>
      <fill>
        <patternFill patternType="none">
          <fgColor indexed="64"/>
          <bgColor auto="1"/>
        </patternFill>
      </fill>
      <border diagonalUp="0" diagonalDown="0" outline="0">
        <left/>
        <right/>
        <top style="thin">
          <color theme="6" tint="0.39997558519241921"/>
        </top>
        <bottom/>
      </border>
    </dxf>
    <dxf>
      <border outline="0">
        <left style="thin">
          <color theme="6" tint="0.39997558519241921"/>
        </left>
        <bottom style="thin">
          <color theme="6" tint="0.39997558519241921"/>
        </bottom>
      </border>
    </dxf>
    <dxf>
      <fill>
        <patternFill patternType="none">
          <fgColor indexed="64"/>
          <bgColor auto="1"/>
        </patternFill>
      </fill>
    </dxf>
    <dxf>
      <font>
        <b/>
        <i val="0"/>
        <strike val="0"/>
        <condense val="0"/>
        <extend val="0"/>
        <outline val="0"/>
        <shadow val="0"/>
        <u val="none"/>
        <vertAlign val="baseline"/>
        <sz val="14"/>
        <color theme="0"/>
        <name val="Calibri"/>
        <family val="2"/>
        <scheme val="minor"/>
      </font>
      <fill>
        <patternFill patternType="solid">
          <fgColor indexed="64"/>
          <bgColor theme="3"/>
        </patternFill>
      </fill>
    </dxf>
    <dxf>
      <font>
        <strike val="0"/>
        <outline val="0"/>
        <shadow val="0"/>
        <u val="none"/>
        <vertAlign val="baseline"/>
        <sz val="12"/>
        <color rgb="FF7F7F7F"/>
        <name val="Calibri"/>
        <family val="2"/>
        <scheme val="minor"/>
      </font>
      <numFmt numFmtId="34" formatCode="_(&quot;$&quot;* #,##0.00_);_(&quot;$&quot;* \(#,##0.00\);_(&quot;$&quot;* &quot;-&quot;??_);_(@_)"/>
      <fill>
        <patternFill patternType="solid">
          <fgColor indexed="64"/>
          <bgColor theme="0" tint="-4.9989318521683403E-2"/>
        </patternFill>
      </fill>
      <border diagonalUp="0" diagonalDown="0" outline="0">
        <left style="thin">
          <color theme="0" tint="-0.14996795556505021"/>
        </left>
        <right style="thin">
          <color theme="0" tint="-0.14996795556505021"/>
        </right>
        <top style="thin">
          <color theme="0" tint="-0.14996795556505021"/>
        </top>
        <bottom style="thin">
          <color theme="0" tint="-0.14996795556505021"/>
        </bottom>
      </border>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dxf>
    <dxf>
      <fill>
        <patternFill patternType="solid">
          <fgColor indexed="64"/>
          <bgColor theme="0"/>
        </patternFill>
      </fill>
      <alignment horizontal="center" vertical="bottom" textRotation="0" wrapText="0" indent="0" justifyLastLine="0" shrinkToFit="0" readingOrder="0"/>
    </dxf>
    <dxf>
      <border outline="0">
        <top style="thin">
          <color indexed="64"/>
        </top>
      </border>
    </dxf>
    <dxf>
      <border outline="0">
        <bottom style="thin">
          <color indexed="64"/>
        </bottom>
      </border>
    </dxf>
    <dxf>
      <font>
        <strike val="0"/>
        <outline val="0"/>
        <shadow val="0"/>
        <u val="none"/>
        <vertAlign val="baseline"/>
        <sz val="12"/>
        <color rgb="FF7F7F7F"/>
        <name val="Calibri"/>
        <family val="2"/>
        <scheme val="minor"/>
      </font>
      <numFmt numFmtId="34" formatCode="_(&quot;$&quot;* #,##0.00_);_(&quot;$&quot;* \(#,##0.00\);_(&quot;$&quot;* &quot;-&quot;??_);_(@_)"/>
      <fill>
        <patternFill patternType="solid">
          <fgColor indexed="64"/>
          <bgColor theme="0" tint="-4.9989318521683403E-2"/>
        </patternFill>
      </fill>
      <border diagonalUp="0" diagonalDown="0" outline="0">
        <left style="thin">
          <color theme="0" tint="-0.14996795556505021"/>
        </left>
        <right style="thin">
          <color theme="0" tint="-0.14996795556505021"/>
        </right>
        <top style="thin">
          <color theme="0" tint="-0.14996795556505021"/>
        </top>
        <bottom style="thin">
          <color theme="0" tint="-0.14996795556505021"/>
        </bottom>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dxf>
    <dxf>
      <fill>
        <patternFill patternType="solid">
          <fgColor indexed="64"/>
          <bgColor theme="0"/>
        </patternFill>
      </fill>
      <alignment horizontal="center" vertical="bottom" textRotation="0" wrapText="0" indent="0" justifyLastLine="0" shrinkToFit="0" readingOrder="0"/>
    </dxf>
    <dxf>
      <border outline="0">
        <top style="thin">
          <color indexed="64"/>
        </top>
      </border>
    </dxf>
    <dxf>
      <border outline="0">
        <bottom style="thin">
          <color indexed="64"/>
        </bottom>
      </border>
    </dxf>
    <dxf>
      <font>
        <strike val="0"/>
        <outline val="0"/>
        <shadow val="0"/>
        <u val="none"/>
        <vertAlign val="baseline"/>
        <sz val="12"/>
        <color rgb="FF7F7F7F"/>
        <name val="Calibri"/>
        <family val="2"/>
        <scheme val="minor"/>
      </font>
      <numFmt numFmtId="34" formatCode="_(&quot;$&quot;* #,##0.00_);_(&quot;$&quot;* \(#,##0.00\);_(&quot;$&quot;* &quot;-&quot;??_);_(@_)"/>
      <fill>
        <patternFill patternType="solid">
          <fgColor indexed="64"/>
          <bgColor theme="0" tint="-4.9989318521683403E-2"/>
        </patternFill>
      </fill>
      <border diagonalUp="0" diagonalDown="0" outline="0">
        <left style="thin">
          <color theme="0" tint="-0.14996795556505021"/>
        </left>
        <right style="thin">
          <color theme="0" tint="-0.14996795556505021"/>
        </right>
        <top style="thin">
          <color theme="0" tint="-0.14996795556505021"/>
        </top>
        <bottom style="thin">
          <color theme="0" tint="-0.14996795556505021"/>
        </bottom>
      </border>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dxf>
    <dxf>
      <fill>
        <patternFill patternType="solid">
          <fgColor indexed="64"/>
          <bgColor theme="0"/>
        </patternFill>
      </fill>
      <alignment horizontal="center" vertical="bottom" textRotation="0" wrapText="0" indent="0" justifyLastLine="0" shrinkToFit="0" readingOrder="0"/>
    </dxf>
    <dxf>
      <border outline="0">
        <top style="thin">
          <color indexed="64"/>
        </top>
      </border>
    </dxf>
    <dxf>
      <border outline="0">
        <bottom style="thin">
          <color indexed="64"/>
        </bottom>
      </border>
    </dxf>
    <dxf>
      <font>
        <strike val="0"/>
        <outline val="0"/>
        <shadow val="0"/>
        <u val="none"/>
        <vertAlign val="baseline"/>
        <sz val="12"/>
        <color rgb="FF7F7F7F"/>
        <name val="Calibri"/>
        <family val="2"/>
        <scheme val="minor"/>
      </font>
      <numFmt numFmtId="34" formatCode="_(&quot;$&quot;* #,##0.00_);_(&quot;$&quot;* \(#,##0.00\);_(&quot;$&quot;* &quot;-&quot;??_);_(@_)"/>
      <fill>
        <patternFill patternType="solid">
          <fgColor indexed="64"/>
          <bgColor theme="0" tint="-4.9989318521683403E-2"/>
        </patternFill>
      </fill>
      <border diagonalUp="0" diagonalDown="0" outline="0">
        <left style="thin">
          <color theme="0" tint="-0.14996795556505021"/>
        </left>
        <right style="thin">
          <color theme="0" tint="-0.14996795556505021"/>
        </right>
        <top style="thin">
          <color theme="0" tint="-0.14996795556505021"/>
        </top>
        <bottom style="thin">
          <color theme="0" tint="-0.14996795556505021"/>
        </bottom>
      </border>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dxf>
    <dxf>
      <fill>
        <patternFill patternType="solid">
          <fgColor indexed="64"/>
          <bgColor theme="0"/>
        </patternFill>
      </fill>
      <alignment horizontal="center" vertical="bottom" textRotation="0" wrapText="0" indent="0" justifyLastLine="0" shrinkToFit="0" readingOrder="0"/>
    </dxf>
    <dxf>
      <border outline="0">
        <top style="thin">
          <color indexed="64"/>
        </top>
      </border>
    </dxf>
    <dxf>
      <border outline="0">
        <bottom style="thin">
          <color indexed="64"/>
        </bottom>
      </border>
    </dxf>
    <dxf>
      <font>
        <strike val="0"/>
        <outline val="0"/>
        <shadow val="0"/>
        <u val="none"/>
        <vertAlign val="baseline"/>
        <sz val="12"/>
        <color rgb="FF7F7F7F"/>
        <name val="Calibri"/>
        <family val="2"/>
        <scheme val="minor"/>
      </font>
      <numFmt numFmtId="34" formatCode="_(&quot;$&quot;* #,##0.00_);_(&quot;$&quot;* \(#,##0.00\);_(&quot;$&quot;* &quot;-&quot;??_);_(@_)"/>
      <fill>
        <patternFill patternType="solid">
          <fgColor indexed="64"/>
          <bgColor theme="0" tint="-4.9989318521683403E-2"/>
        </patternFill>
      </fill>
      <border diagonalUp="0" diagonalDown="0" outline="0">
        <left style="thin">
          <color theme="0" tint="-0.14996795556505021"/>
        </left>
        <right style="thin">
          <color theme="0" tint="-0.14996795556505021"/>
        </right>
        <top style="thin">
          <color theme="0" tint="-0.14996795556505021"/>
        </top>
        <bottom style="thin">
          <color theme="0" tint="-0.14996795556505021"/>
        </bottom>
      </border>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dxf>
    <dxf>
      <fill>
        <patternFill patternType="solid">
          <fgColor indexed="64"/>
          <bgColor theme="0"/>
        </patternFill>
      </fill>
      <alignment horizontal="center" vertical="bottom" textRotation="0" wrapText="0" indent="0" justifyLastLine="0" shrinkToFit="0" readingOrder="0"/>
    </dxf>
    <dxf>
      <border outline="0">
        <top style="thin">
          <color indexed="64"/>
        </top>
      </border>
    </dxf>
    <dxf>
      <border outline="0">
        <bottom style="thin">
          <color indexed="64"/>
        </bottom>
      </border>
    </dxf>
    <dxf>
      <font>
        <strike val="0"/>
        <outline val="0"/>
        <shadow val="0"/>
        <u val="none"/>
        <vertAlign val="baseline"/>
        <sz val="12"/>
        <color rgb="FF7F7F7F"/>
        <name val="Calibri"/>
        <family val="2"/>
        <scheme val="minor"/>
      </font>
      <numFmt numFmtId="34" formatCode="_(&quot;$&quot;* #,##0.00_);_(&quot;$&quot;* \(#,##0.00\);_(&quot;$&quot;* &quot;-&quot;??_);_(@_)"/>
      <fill>
        <patternFill patternType="solid">
          <fgColor indexed="64"/>
          <bgColor theme="0" tint="-4.9989318521683403E-2"/>
        </patternFill>
      </fill>
      <border diagonalUp="0" diagonalDown="0" outline="0">
        <left style="thin">
          <color theme="0" tint="-0.14996795556505021"/>
        </left>
        <right style="thin">
          <color theme="0" tint="-0.14996795556505021"/>
        </right>
        <top style="thin">
          <color theme="0" tint="-0.14996795556505021"/>
        </top>
        <bottom style="thin">
          <color theme="0" tint="-0.14996795556505021"/>
        </bottom>
      </border>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dxf>
    <dxf>
      <fill>
        <patternFill patternType="solid">
          <fgColor indexed="64"/>
          <bgColor theme="0"/>
        </patternFill>
      </fill>
      <alignment horizontal="center" vertical="bottom" textRotation="0" wrapText="0" indent="0" justifyLastLine="0" shrinkToFit="0" readingOrder="0"/>
    </dxf>
    <dxf>
      <border outline="0">
        <top style="thin">
          <color indexed="64"/>
        </top>
      </border>
    </dxf>
    <dxf>
      <border outline="0">
        <bottom style="thin">
          <color indexed="64"/>
        </bottom>
      </border>
    </dxf>
    <dxf>
      <font>
        <strike val="0"/>
        <outline val="0"/>
        <shadow val="0"/>
        <u val="none"/>
        <vertAlign val="baseline"/>
        <sz val="12"/>
        <color rgb="FF7F7F7F"/>
        <name val="Calibri"/>
        <family val="2"/>
        <scheme val="minor"/>
      </font>
      <numFmt numFmtId="34" formatCode="_(&quot;$&quot;* #,##0.00_);_(&quot;$&quot;* \(#,##0.00\);_(&quot;$&quot;* &quot;-&quot;??_);_(@_)"/>
      <fill>
        <patternFill patternType="solid">
          <fgColor indexed="64"/>
          <bgColor theme="0" tint="-4.9989318521683403E-2"/>
        </patternFill>
      </fill>
      <border diagonalUp="0" diagonalDown="0" outline="0">
        <left style="thin">
          <color theme="0" tint="-0.14996795556505021"/>
        </left>
        <right style="thin">
          <color theme="0" tint="-0.14996795556505021"/>
        </right>
        <top style="thin">
          <color theme="0" tint="-0.14996795556505021"/>
        </top>
        <bottom style="thin">
          <color theme="0" tint="-0.14996795556505021"/>
        </bottom>
      </border>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dxf>
    <dxf>
      <fill>
        <patternFill patternType="solid">
          <fgColor indexed="64"/>
          <bgColor theme="0"/>
        </patternFill>
      </fill>
      <alignment horizontal="center" vertical="bottom" textRotation="0" wrapText="0" indent="0" justifyLastLine="0" shrinkToFit="0" readingOrder="0"/>
    </dxf>
    <dxf>
      <border outline="0">
        <top style="thin">
          <color indexed="64"/>
        </top>
      </border>
    </dxf>
    <dxf>
      <border outline="0">
        <bottom style="thin">
          <color indexed="64"/>
        </bottom>
      </border>
    </dxf>
    <dxf>
      <font>
        <strike val="0"/>
        <outline val="0"/>
        <shadow val="0"/>
        <u val="none"/>
        <vertAlign val="baseline"/>
        <sz val="12"/>
        <color rgb="FF7F7F7F"/>
        <name val="Calibri"/>
        <family val="2"/>
        <scheme val="minor"/>
      </font>
      <numFmt numFmtId="34" formatCode="_(&quot;$&quot;* #,##0.00_);_(&quot;$&quot;* \(#,##0.00\);_(&quot;$&quot;* &quot;-&quot;??_);_(@_)"/>
      <fill>
        <patternFill patternType="solid">
          <fgColor indexed="64"/>
          <bgColor theme="0" tint="-4.9989318521683403E-2"/>
        </patternFill>
      </fill>
      <border diagonalUp="0" diagonalDown="0" outline="0">
        <left style="thin">
          <color theme="0" tint="-0.14996795556505021"/>
        </left>
        <right style="thin">
          <color theme="0" tint="-0.14996795556505021"/>
        </right>
        <top style="thin">
          <color theme="0" tint="-0.14996795556505021"/>
        </top>
        <bottom style="thin">
          <color theme="0" tint="-0.14996795556505021"/>
        </bottom>
      </border>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dxf>
    <dxf>
      <fill>
        <patternFill patternType="solid">
          <fgColor indexed="64"/>
          <bgColor theme="0"/>
        </patternFill>
      </fill>
      <alignment horizontal="center" vertical="bottom" textRotation="0" wrapText="0" indent="0" justifyLastLine="0" shrinkToFit="0" readingOrder="0"/>
    </dxf>
    <dxf>
      <border outline="0">
        <top style="thin">
          <color indexed="64"/>
        </top>
      </border>
    </dxf>
    <dxf>
      <border outline="0">
        <bottom style="thin">
          <color indexed="64"/>
        </bottom>
      </border>
    </dxf>
    <dxf>
      <font>
        <strike val="0"/>
        <outline val="0"/>
        <shadow val="0"/>
        <u val="none"/>
        <vertAlign val="baseline"/>
        <sz val="12"/>
        <color rgb="FF7F7F7F"/>
        <name val="Calibri"/>
        <family val="2"/>
        <scheme val="minor"/>
      </font>
      <numFmt numFmtId="34" formatCode="_(&quot;$&quot;* #,##0.00_);_(&quot;$&quot;* \(#,##0.00\);_(&quot;$&quot;* &quot;-&quot;??_);_(@_)"/>
      <fill>
        <patternFill patternType="solid">
          <fgColor indexed="64"/>
          <bgColor theme="0" tint="-4.9989318521683403E-2"/>
        </patternFill>
      </fill>
      <border diagonalUp="0" diagonalDown="0" outline="0">
        <left style="thin">
          <color theme="0" tint="-0.14996795556505021"/>
        </left>
        <right style="thin">
          <color theme="0" tint="-0.14996795556505021"/>
        </right>
        <top style="thin">
          <color theme="0" tint="-0.14996795556505021"/>
        </top>
        <bottom style="thin">
          <color theme="0" tint="-0.14996795556505021"/>
        </bottom>
      </border>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dxf>
    <dxf>
      <fill>
        <patternFill patternType="solid">
          <fgColor indexed="64"/>
          <bgColor theme="0"/>
        </patternFill>
      </fill>
      <alignment horizontal="center" vertical="bottom" textRotation="0" wrapText="0" indent="0" justifyLastLine="0" shrinkToFit="0" readingOrder="0"/>
    </dxf>
    <dxf>
      <border outline="0">
        <top style="thin">
          <color indexed="64"/>
        </top>
      </border>
    </dxf>
    <dxf>
      <border outline="0">
        <bottom style="thin">
          <color indexed="64"/>
        </bottom>
      </border>
    </dxf>
    <dxf>
      <font>
        <strike val="0"/>
        <outline val="0"/>
        <shadow val="0"/>
        <u val="none"/>
        <vertAlign val="baseline"/>
        <sz val="12"/>
        <color rgb="FF7F7F7F"/>
        <name val="Calibri"/>
        <family val="2"/>
        <scheme val="minor"/>
      </font>
      <numFmt numFmtId="34" formatCode="_(&quot;$&quot;* #,##0.00_);_(&quot;$&quot;* \(#,##0.00\);_(&quot;$&quot;* &quot;-&quot;??_);_(@_)"/>
      <fill>
        <patternFill patternType="solid">
          <fgColor indexed="64"/>
          <bgColor theme="0" tint="-4.9989318521683403E-2"/>
        </patternFill>
      </fill>
      <border diagonalUp="0" diagonalDown="0" outline="0">
        <left style="thin">
          <color theme="0" tint="-0.14996795556505021"/>
        </left>
        <right style="thin">
          <color theme="0" tint="-0.14996795556505021"/>
        </right>
        <top style="thin">
          <color theme="0" tint="-0.14996795556505021"/>
        </top>
        <bottom style="thin">
          <color theme="0" tint="-0.14996795556505021"/>
        </bottom>
      </border>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dxf>
    <dxf>
      <fill>
        <patternFill patternType="solid">
          <fgColor indexed="64"/>
          <bgColor theme="0"/>
        </patternFill>
      </fill>
      <alignment horizontal="center" vertical="bottom" textRotation="0" wrapText="0" indent="0" justifyLastLine="0" shrinkToFit="0" readingOrder="0"/>
    </dxf>
    <dxf>
      <border outline="0">
        <top style="thin">
          <color indexed="64"/>
        </top>
      </border>
    </dxf>
    <dxf>
      <border outline="0">
        <bottom style="thin">
          <color indexed="64"/>
        </bottom>
      </border>
    </dxf>
    <dxf>
      <font>
        <strike val="0"/>
        <outline val="0"/>
        <shadow val="0"/>
        <u val="none"/>
        <vertAlign val="baseline"/>
        <sz val="12"/>
        <color rgb="FF7F7F7F"/>
        <name val="Calibri"/>
        <family val="2"/>
        <scheme val="minor"/>
      </font>
      <numFmt numFmtId="34" formatCode="_(&quot;$&quot;* #,##0.00_);_(&quot;$&quot;* \(#,##0.00\);_(&quot;$&quot;* &quot;-&quot;??_);_(@_)"/>
      <fill>
        <patternFill patternType="solid">
          <fgColor indexed="64"/>
          <bgColor theme="0" tint="-4.9989318521683403E-2"/>
        </patternFill>
      </fill>
      <border diagonalUp="0" diagonalDown="0" outline="0">
        <left style="thin">
          <color theme="0" tint="-0.14996795556505021"/>
        </left>
        <right style="thin">
          <color theme="0" tint="-0.14996795556505021"/>
        </right>
        <top style="thin">
          <color theme="0" tint="-0.14996795556505021"/>
        </top>
        <bottom style="thin">
          <color theme="0" tint="-0.14996795556505021"/>
        </bottom>
      </border>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dxf>
    <dxf>
      <fill>
        <patternFill patternType="solid">
          <fgColor indexed="64"/>
          <bgColor theme="0"/>
        </patternFill>
      </fill>
      <alignment horizontal="center" vertical="bottom" textRotation="0" wrapText="0" indent="0" justifyLastLine="0" shrinkToFit="0" readingOrder="0"/>
    </dxf>
    <dxf>
      <border outline="0">
        <top style="thin">
          <color indexed="64"/>
        </top>
      </border>
    </dxf>
    <dxf>
      <border outline="0">
        <bottom style="thin">
          <color indexed="64"/>
        </bottom>
      </border>
    </dxf>
    <dxf>
      <font>
        <strike val="0"/>
        <outline val="0"/>
        <shadow val="0"/>
        <u val="none"/>
        <vertAlign val="baseline"/>
        <sz val="12"/>
        <color rgb="FF7F7F7F"/>
        <name val="Calibri"/>
        <family val="2"/>
        <scheme val="minor"/>
      </font>
      <numFmt numFmtId="34" formatCode="_(&quot;$&quot;* #,##0.00_);_(&quot;$&quot;* \(#,##0.00\);_(&quot;$&quot;* &quot;-&quot;??_);_(@_)"/>
      <fill>
        <patternFill patternType="solid">
          <fgColor indexed="64"/>
          <bgColor theme="0" tint="-4.9989318521683403E-2"/>
        </patternFill>
      </fill>
      <border diagonalUp="0" diagonalDown="0" outline="0">
        <left style="thin">
          <color theme="0" tint="-0.14996795556505021"/>
        </left>
        <right style="thin">
          <color theme="0" tint="-0.14996795556505021"/>
        </right>
        <top style="thin">
          <color theme="0" tint="-0.14996795556505021"/>
        </top>
        <bottom style="thin">
          <color theme="0" tint="-0.14996795556505021"/>
        </bottom>
      </border>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dxf>
    <dxf>
      <fill>
        <patternFill patternType="solid">
          <fgColor indexed="64"/>
          <bgColor theme="0"/>
        </patternFill>
      </fill>
      <alignment horizontal="center" vertical="bottom" textRotation="0" wrapText="0" indent="0" justifyLastLine="0" shrinkToFit="0" readingOrder="0"/>
    </dxf>
    <dxf>
      <border outline="0">
        <top style="thin">
          <color indexed="64"/>
        </top>
      </border>
    </dxf>
    <dxf>
      <border outline="0">
        <bottom style="thin">
          <color theme="0" tint="-0.14993743705557422"/>
        </bottom>
      </border>
    </dxf>
    <dxf>
      <font>
        <color rgb="FF0000FF"/>
      </font>
      <fill>
        <patternFill>
          <bgColor rgb="FFFFFF99"/>
        </patternFill>
      </fill>
      <border>
        <left style="thin">
          <color rgb="FF7F7F7F"/>
        </left>
        <right style="thin">
          <color rgb="FF7F7F7F"/>
        </right>
        <top style="thin">
          <color rgb="FF7F7F7F"/>
        </top>
        <bottom style="thin">
          <color rgb="FF7F7F7F"/>
        </bottom>
        <vertical/>
        <horizontal/>
      </border>
    </dxf>
    <dxf>
      <font>
        <color rgb="FF0000FF"/>
      </font>
      <fill>
        <patternFill>
          <bgColor rgb="FFFFFF99"/>
        </patternFill>
      </fill>
      <border>
        <left style="thin">
          <color rgb="FF7F7F7F"/>
        </left>
        <right style="thin">
          <color rgb="FF7F7F7F"/>
        </right>
        <top style="thin">
          <color rgb="FF7F7F7F"/>
        </top>
        <bottom style="thin">
          <color rgb="FF7F7F7F"/>
        </bottom>
        <vertical/>
        <horizontal/>
      </border>
    </dxf>
    <dxf>
      <font>
        <color rgb="FF0000FF"/>
      </font>
      <fill>
        <patternFill>
          <bgColor rgb="FFFFFF99"/>
        </patternFill>
      </fill>
      <border>
        <left style="thin">
          <color rgb="FF7F7F7F"/>
        </left>
        <right style="thin">
          <color rgb="FF7F7F7F"/>
        </right>
        <top style="thin">
          <color rgb="FF7F7F7F"/>
        </top>
        <bottom style="thin">
          <color rgb="FF7F7F7F"/>
        </bottom>
        <vertical/>
        <horizontal/>
      </border>
    </dxf>
    <dxf>
      <font>
        <color rgb="FF0000FF"/>
      </font>
      <fill>
        <patternFill>
          <bgColor rgb="FFFFFF99"/>
        </patternFill>
      </fill>
      <border>
        <left style="thin">
          <color rgb="FF7F7F7F"/>
        </left>
        <right style="thin">
          <color rgb="FF7F7F7F"/>
        </right>
        <top style="thin">
          <color rgb="FF7F7F7F"/>
        </top>
        <bottom style="thin">
          <color rgb="FF7F7F7F"/>
        </bottom>
        <vertical/>
        <horizontal/>
      </border>
    </dxf>
    <dxf>
      <font>
        <color rgb="FF0000FF"/>
      </font>
      <fill>
        <patternFill>
          <bgColor rgb="FFFFFF99"/>
        </patternFill>
      </fill>
      <border>
        <left style="thin">
          <color rgb="FF7F7F7F"/>
        </left>
        <right style="thin">
          <color rgb="FF7F7F7F"/>
        </right>
        <top style="thin">
          <color rgb="FF7F7F7F"/>
        </top>
        <bottom style="thin">
          <color rgb="FF7F7F7F"/>
        </bottom>
        <vertical/>
        <horizontal/>
      </border>
    </dxf>
    <dxf>
      <font>
        <color rgb="FF0000FF"/>
      </font>
      <fill>
        <patternFill>
          <bgColor rgb="FFFFFF99"/>
        </patternFill>
      </fill>
      <border>
        <left style="thin">
          <color rgb="FF7F7F7F"/>
        </left>
        <right style="thin">
          <color rgb="FF7F7F7F"/>
        </right>
        <top style="thin">
          <color rgb="FF7F7F7F"/>
        </top>
        <bottom style="thin">
          <color rgb="FF7F7F7F"/>
        </bottom>
        <vertical/>
        <horizontal/>
      </border>
    </dxf>
    <dxf>
      <font>
        <color rgb="FF0000FF"/>
      </font>
      <fill>
        <patternFill>
          <bgColor rgb="FFFFFF99"/>
        </patternFill>
      </fill>
      <border>
        <left style="thin">
          <color rgb="FF7F7F7F"/>
        </left>
        <right style="thin">
          <color rgb="FF7F7F7F"/>
        </right>
        <top style="thin">
          <color rgb="FF7F7F7F"/>
        </top>
        <bottom style="thin">
          <color rgb="FF7F7F7F"/>
        </bottom>
        <vertical/>
        <horizontal/>
      </border>
    </dxf>
    <dxf>
      <font>
        <color rgb="FF0000FF"/>
      </font>
      <fill>
        <patternFill>
          <bgColor rgb="FFFFFF99"/>
        </patternFill>
      </fill>
      <border>
        <left style="thin">
          <color rgb="FF7F7F7F"/>
        </left>
        <right style="thin">
          <color rgb="FF7F7F7F"/>
        </right>
        <top style="thin">
          <color rgb="FF7F7F7F"/>
        </top>
        <bottom style="thin">
          <color rgb="FF7F7F7F"/>
        </bottom>
        <vertical/>
        <horizontal/>
      </border>
    </dxf>
    <dxf>
      <font>
        <color rgb="FF0000FF"/>
      </font>
      <fill>
        <patternFill>
          <bgColor rgb="FFFFFF99"/>
        </patternFill>
      </fill>
      <border>
        <left style="thin">
          <color rgb="FF7F7F7F"/>
        </left>
        <right style="thin">
          <color rgb="FF7F7F7F"/>
        </right>
        <top style="thin">
          <color rgb="FF7F7F7F"/>
        </top>
        <bottom style="thin">
          <color rgb="FF7F7F7F"/>
        </bottom>
        <vertical/>
        <horizontal/>
      </border>
    </dxf>
    <dxf>
      <font>
        <color rgb="FF0000FF"/>
      </font>
      <fill>
        <patternFill>
          <bgColor rgb="FFFFFF99"/>
        </patternFill>
      </fill>
      <border>
        <left style="thin">
          <color rgb="FF7F7F7F"/>
        </left>
        <right style="thin">
          <color rgb="FF7F7F7F"/>
        </right>
        <top style="thin">
          <color rgb="FF7F7F7F"/>
        </top>
        <bottom style="thin">
          <color rgb="FF7F7F7F"/>
        </bottom>
        <vertical/>
        <horizontal/>
      </border>
    </dxf>
    <dxf>
      <font>
        <color rgb="FF0000FF"/>
      </font>
      <fill>
        <patternFill>
          <bgColor rgb="FFFFFF99"/>
        </patternFill>
      </fill>
      <border>
        <left style="thin">
          <color rgb="FF7F7F7F"/>
        </left>
        <right style="thin">
          <color rgb="FF7F7F7F"/>
        </right>
        <top style="thin">
          <color rgb="FF7F7F7F"/>
        </top>
        <bottom style="thin">
          <color rgb="FF7F7F7F"/>
        </bottom>
        <vertical/>
        <horizontal/>
      </border>
    </dxf>
    <dxf>
      <font>
        <color rgb="FF0000FF"/>
      </font>
      <fill>
        <patternFill>
          <bgColor rgb="FFFFFF99"/>
        </patternFill>
      </fill>
      <border>
        <left style="thin">
          <color rgb="FF7F7F7F"/>
        </left>
        <right style="thin">
          <color rgb="FF7F7F7F"/>
        </right>
        <top style="thin">
          <color rgb="FF7F7F7F"/>
        </top>
        <bottom style="thin">
          <color rgb="FF7F7F7F"/>
        </bottom>
        <vertical/>
        <horizontal/>
      </border>
    </dxf>
    <dxf>
      <font>
        <color rgb="FF0000FF"/>
      </font>
      <fill>
        <patternFill>
          <bgColor rgb="FFFFFF99"/>
        </patternFill>
      </fill>
      <border>
        <left style="thin">
          <color rgb="FF7F7F7F"/>
        </left>
        <right style="thin">
          <color rgb="FF7F7F7F"/>
        </right>
        <top style="thin">
          <color rgb="FF7F7F7F"/>
        </top>
        <bottom style="thin">
          <color rgb="FF7F7F7F"/>
        </bottom>
        <vertical/>
        <horizontal/>
      </border>
    </dxf>
    <dxf>
      <font>
        <color theme="0"/>
      </font>
    </dxf>
  </dxfs>
  <tableStyles count="0" defaultTableStyle="TableStyleMedium2" defaultPivotStyle="PivotStyleLight16"/>
  <colors>
    <mruColors>
      <color rgb="FF7F7F7F"/>
      <color rgb="FF0000FF"/>
      <color rgb="FFFFFF99"/>
      <color rgb="FFF4FF3D"/>
      <color rgb="FF0839C4"/>
      <color rgb="FFFFFFFF"/>
      <color rgb="FF3F3F76"/>
      <color rgb="FFFFBA99"/>
      <color rgb="FFE6CC99"/>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897255</xdr:colOff>
          <xdr:row>0</xdr:row>
          <xdr:rowOff>114300</xdr:rowOff>
        </xdr:from>
        <xdr:to>
          <xdr:col>0</xdr:col>
          <xdr:colOff>3027045</xdr:colOff>
          <xdr:row>7</xdr:row>
          <xdr:rowOff>87489</xdr:rowOff>
        </xdr:to>
        <xdr:grpSp>
          <xdr:nvGrpSpPr>
            <xdr:cNvPr id="3" name="Group 2">
              <a:extLst>
                <a:ext uri="{FF2B5EF4-FFF2-40B4-BE49-F238E27FC236}">
                  <a16:creationId xmlns:a16="http://schemas.microsoft.com/office/drawing/2014/main" id="{00000000-0008-0000-0100-000003000000}"/>
                </a:ext>
              </a:extLst>
            </xdr:cNvPr>
            <xdr:cNvGrpSpPr/>
          </xdr:nvGrpSpPr>
          <xdr:grpSpPr>
            <a:xfrm>
              <a:off x="897255" y="114300"/>
              <a:ext cx="2129790" cy="1356078"/>
              <a:chOff x="11468100" y="1609720"/>
              <a:chExt cx="3352800" cy="2225680"/>
            </a:xfrm>
          </xdr:grpSpPr>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11468100" y="1609720"/>
                <a:ext cx="3352800" cy="105727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rial" pitchFamily="2" charset="0"/>
                    <a:cs typeface="Arial" pitchFamily="2" charset="0"/>
                  </a:rPr>
                  <a:t>Unhide All Rows</a:t>
                </a:r>
              </a:p>
            </xdr:txBody>
          </xdr:sp>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11468100" y="2778125"/>
                <a:ext cx="3352800" cy="105727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rial" pitchFamily="2" charset="0"/>
                    <a:cs typeface="Arial" pitchFamily="2" charset="0"/>
                  </a:rPr>
                  <a:t>Hide Unused Rows</a:t>
                </a:r>
              </a:p>
            </xdr:txBody>
          </xdr:sp>
        </xdr:grpSp>
        <xdr:clientData fPrintsWithSheet="0"/>
      </xdr:twoCellAnchor>
    </mc:Choice>
    <mc:Fallback/>
  </mc:AlternateContent>
  <xdr:twoCellAnchor>
    <xdr:from>
      <xdr:col>0</xdr:col>
      <xdr:colOff>3455670</xdr:colOff>
      <xdr:row>1</xdr:row>
      <xdr:rowOff>9525</xdr:rowOff>
    </xdr:from>
    <xdr:to>
      <xdr:col>2</xdr:col>
      <xdr:colOff>990600</xdr:colOff>
      <xdr:row>6</xdr:row>
      <xdr:rowOff>57150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3455670" y="200025"/>
          <a:ext cx="2116455" cy="1000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t>To unlock spreadsheet,</a:t>
          </a:r>
          <a:r>
            <a:rPr lang="en-US" sz="1200" baseline="0"/>
            <a:t> simply right click on the worksheet tab 'Investment Proposal' and select 'Unprotect Sheet...'</a:t>
          </a:r>
          <a:endParaRPr lang="en-US" sz="12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63500</xdr:colOff>
          <xdr:row>14</xdr:row>
          <xdr:rowOff>127000</xdr:rowOff>
        </xdr:from>
        <xdr:to>
          <xdr:col>4</xdr:col>
          <xdr:colOff>2171700</xdr:colOff>
          <xdr:row>16</xdr:row>
          <xdr:rowOff>101600</xdr:rowOff>
        </xdr:to>
        <xdr:sp macro="" textlink="">
          <xdr:nvSpPr>
            <xdr:cNvPr id="9287" name="Button 71" hidden="1">
              <a:extLst>
                <a:ext uri="{63B3BB69-23CF-44E3-9099-C40C66FF867C}">
                  <a14:compatExt spid="_x0000_s9287"/>
                </a:ext>
                <a:ext uri="{FF2B5EF4-FFF2-40B4-BE49-F238E27FC236}">
                  <a16:creationId xmlns:a16="http://schemas.microsoft.com/office/drawing/2014/main" id="{00000000-0008-0000-0200-000047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Change Proposal Date to Today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2235200</xdr:colOff>
          <xdr:row>14</xdr:row>
          <xdr:rowOff>127000</xdr:rowOff>
        </xdr:from>
        <xdr:to>
          <xdr:col>5</xdr:col>
          <xdr:colOff>406400</xdr:colOff>
          <xdr:row>16</xdr:row>
          <xdr:rowOff>88900</xdr:rowOff>
        </xdr:to>
        <xdr:sp macro="" textlink="">
          <xdr:nvSpPr>
            <xdr:cNvPr id="9288" name="Button 72" hidden="1">
              <a:extLst>
                <a:ext uri="{63B3BB69-23CF-44E3-9099-C40C66FF867C}">
                  <a14:compatExt spid="_x0000_s9288"/>
                </a:ext>
                <a:ext uri="{FF2B5EF4-FFF2-40B4-BE49-F238E27FC236}">
                  <a16:creationId xmlns:a16="http://schemas.microsoft.com/office/drawing/2014/main" id="{00000000-0008-0000-0200-000048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Change Proposal Date to Tomorrow</a:t>
              </a:r>
            </a:p>
            <a:p>
              <a:pPr algn="ctr" rtl="0">
                <a:defRPr sz="1000"/>
              </a:pPr>
              <a:endParaRPr lang="en-US"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twoCellAnchor>
    <xdr:from>
      <xdr:col>5</xdr:col>
      <xdr:colOff>1206500</xdr:colOff>
      <xdr:row>48</xdr:row>
      <xdr:rowOff>127000</xdr:rowOff>
    </xdr:from>
    <xdr:to>
      <xdr:col>8</xdr:col>
      <xdr:colOff>406400</xdr:colOff>
      <xdr:row>57</xdr:row>
      <xdr:rowOff>101600</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4643100" y="10515600"/>
          <a:ext cx="4826000" cy="1803400"/>
        </a:xfrm>
        <a:prstGeom prst="rect">
          <a:avLst/>
        </a:prstGeom>
        <a:solidFill>
          <a:schemeClr val="bg1">
            <a:lumMod val="95000"/>
          </a:schemeClr>
        </a:solidFill>
        <a:ln>
          <a:noFill/>
        </a:ln>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r>
            <a:rPr lang="en-US" sz="1200" b="0" i="0" u="none" strike="noStrike">
              <a:solidFill>
                <a:srgbClr val="7F7F7F"/>
              </a:solidFill>
              <a:effectLst/>
              <a:latin typeface="Aptos Narrow" panose="020B0004020202020204" pitchFamily="34" charset="0"/>
              <a:ea typeface="+mn-ea"/>
              <a:cs typeface="+mn-cs"/>
            </a:rPr>
            <a:t>Note:</a:t>
          </a:r>
        </a:p>
        <a:p>
          <a:pPr algn="l"/>
          <a:endParaRPr lang="en-US" sz="1200" b="0" i="0" u="none" strike="noStrike">
            <a:solidFill>
              <a:srgbClr val="7F7F7F"/>
            </a:solidFill>
            <a:effectLst/>
            <a:latin typeface="Aptos Narrow" panose="020B0004020202020204" pitchFamily="34" charset="0"/>
            <a:ea typeface="+mn-ea"/>
            <a:cs typeface="+mn-cs"/>
          </a:endParaRPr>
        </a:p>
        <a:p>
          <a:pPr algn="l"/>
          <a:r>
            <a:rPr lang="en-US" sz="1200" b="0" i="0" u="none" strike="noStrike">
              <a:solidFill>
                <a:srgbClr val="7F7F7F"/>
              </a:solidFill>
              <a:effectLst/>
              <a:latin typeface="Aptos Narrow" panose="020B0004020202020204" pitchFamily="34" charset="0"/>
              <a:ea typeface="+mn-ea"/>
              <a:cs typeface="+mn-cs"/>
            </a:rPr>
            <a:t>1. No more than 10% Liquid Net Worth (LNW) in one investment</a:t>
          </a:r>
          <a:r>
            <a:rPr lang="en-US" sz="1200">
              <a:solidFill>
                <a:srgbClr val="7F7F7F"/>
              </a:solidFill>
              <a:latin typeface="Aptos Narrow" panose="020B0004020202020204" pitchFamily="34" charset="0"/>
            </a:rPr>
            <a:t> </a:t>
          </a:r>
        </a:p>
        <a:p>
          <a:pPr algn="l"/>
          <a:endParaRPr lang="en-US" sz="1200">
            <a:solidFill>
              <a:srgbClr val="7F7F7F"/>
            </a:solidFill>
            <a:latin typeface="Aptos Narrow" panose="020B0004020202020204" pitchFamily="34" charset="0"/>
          </a:endParaRPr>
        </a:p>
        <a:p>
          <a:pPr algn="l"/>
          <a:r>
            <a:rPr lang="en-US" sz="1200" b="0" i="0" u="none" strike="noStrike">
              <a:solidFill>
                <a:srgbClr val="7F7F7F"/>
              </a:solidFill>
              <a:effectLst/>
              <a:latin typeface="Aptos Narrow" panose="020B0004020202020204" pitchFamily="34" charset="0"/>
              <a:ea typeface="+mn-ea"/>
              <a:cs typeface="+mn-cs"/>
            </a:rPr>
            <a:t>2. No more than 35% of account value in one investment and no more than 50% of account value in alts</a:t>
          </a:r>
          <a:r>
            <a:rPr lang="en-US" sz="1200">
              <a:solidFill>
                <a:srgbClr val="7F7F7F"/>
              </a:solidFill>
              <a:latin typeface="Aptos Narrow" panose="020B0004020202020204" pitchFamily="34" charset="0"/>
            </a:rPr>
            <a:t> </a:t>
          </a:r>
        </a:p>
        <a:p>
          <a:pPr algn="l"/>
          <a:endParaRPr lang="en-US" sz="1200">
            <a:solidFill>
              <a:srgbClr val="7F7F7F"/>
            </a:solidFill>
            <a:latin typeface="Aptos Narrow" panose="020B0004020202020204" pitchFamily="34" charset="0"/>
          </a:endParaRPr>
        </a:p>
        <a:p>
          <a:pPr algn="l"/>
          <a:r>
            <a:rPr lang="en-US" sz="1200" b="0" i="0" u="none" strike="noStrike">
              <a:solidFill>
                <a:srgbClr val="7F7F7F"/>
              </a:solidFill>
              <a:effectLst/>
              <a:latin typeface="Aptos Narrow" panose="020B0004020202020204" pitchFamily="34" charset="0"/>
              <a:ea typeface="+mn-ea"/>
              <a:cs typeface="+mn-cs"/>
            </a:rPr>
            <a:t>3. Total Alt concentration, determined by age, investment objective, and liquid net worth:</a:t>
          </a:r>
          <a:r>
            <a:rPr lang="en-US" sz="1200">
              <a:solidFill>
                <a:srgbClr val="7F7F7F"/>
              </a:solidFill>
              <a:latin typeface="Aptos Narrow" panose="020B0004020202020204" pitchFamily="34" charset="0"/>
            </a:rPr>
            <a:t>  Cell G48</a:t>
          </a:r>
        </a:p>
      </xdr:txBody>
    </xdr:sp>
    <xdr:clientData/>
  </xdr:twoCellAnchor>
  <xdr:twoCellAnchor>
    <xdr:from>
      <xdr:col>4</xdr:col>
      <xdr:colOff>38100</xdr:colOff>
      <xdr:row>60</xdr:row>
      <xdr:rowOff>190500</xdr:rowOff>
    </xdr:from>
    <xdr:to>
      <xdr:col>8</xdr:col>
      <xdr:colOff>419100</xdr:colOff>
      <xdr:row>71</xdr:row>
      <xdr:rowOff>12700</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9309100" y="12979400"/>
          <a:ext cx="10769600" cy="2044700"/>
        </a:xfrm>
        <a:prstGeom prst="rect">
          <a:avLst/>
        </a:prstGeom>
        <a:solidFill>
          <a:schemeClr val="bg1">
            <a:lumMod val="95000"/>
          </a:schemeClr>
        </a:solidFill>
        <a:ln>
          <a:noFill/>
        </a:ln>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r>
            <a:rPr lang="en-US" sz="1200" b="0" i="0" u="none" strike="noStrike">
              <a:solidFill>
                <a:srgbClr val="7F7F7F"/>
              </a:solidFill>
              <a:effectLst/>
              <a:latin typeface="Aptos Narrow" panose="020B0004020202020204" pitchFamily="34" charset="0"/>
              <a:ea typeface="+mn-ea"/>
              <a:cs typeface="+mn-cs"/>
            </a:rPr>
            <a:t>Note:</a:t>
          </a:r>
        </a:p>
        <a:p>
          <a:pPr algn="l"/>
          <a:endParaRPr lang="en-US" sz="1200" b="0" i="0" u="none" strike="noStrike">
            <a:solidFill>
              <a:srgbClr val="7F7F7F"/>
            </a:solidFill>
            <a:effectLst/>
            <a:latin typeface="Aptos Narrow" panose="020B0004020202020204" pitchFamily="34" charset="0"/>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200" b="0" i="0" u="none" strike="noStrike">
              <a:solidFill>
                <a:srgbClr val="7F7F7F"/>
              </a:solidFill>
              <a:effectLst/>
              <a:latin typeface="Aptos Narrow" panose="020B0004020202020204" pitchFamily="34" charset="0"/>
              <a:ea typeface="+mn-ea"/>
              <a:cs typeface="+mn-cs"/>
            </a:rPr>
            <a:t>Trade must not cause client’s concentration to exceed: </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b="0" i="0" u="none" strike="noStrike">
            <a:solidFill>
              <a:srgbClr val="7F7F7F"/>
            </a:solidFill>
            <a:effectLst/>
            <a:latin typeface="Aptos Narrow" panose="020B0004020202020204" pitchFamily="34" charset="0"/>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200" b="0" i="0" u="none" strike="noStrike">
              <a:solidFill>
                <a:srgbClr val="7F7F7F"/>
              </a:solidFill>
              <a:effectLst/>
              <a:latin typeface="Aptos Narrow" panose="020B0004020202020204" pitchFamily="34" charset="0"/>
              <a:ea typeface="+mn-ea"/>
              <a:cs typeface="+mn-cs"/>
            </a:rPr>
            <a:t>1. 35% in any individual NSCC Interval Fund investment in a SAM account at the account level. </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b="0" i="0" u="none" strike="noStrike">
            <a:solidFill>
              <a:srgbClr val="7F7F7F"/>
            </a:solidFill>
            <a:effectLst/>
            <a:latin typeface="Aptos Narrow" panose="020B0004020202020204" pitchFamily="34" charset="0"/>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200" b="0" i="0" u="none" strike="noStrike">
              <a:solidFill>
                <a:srgbClr val="7F7F7F"/>
              </a:solidFill>
              <a:effectLst/>
              <a:latin typeface="Aptos Narrow" panose="020B0004020202020204" pitchFamily="34" charset="0"/>
              <a:ea typeface="+mn-ea"/>
              <a:cs typeface="+mn-cs"/>
            </a:rPr>
            <a:t>2. 20% of overall NSCC Interval Fund investments at the household level. </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b="0" i="0" u="none" strike="noStrike">
            <a:solidFill>
              <a:srgbClr val="7F7F7F"/>
            </a:solidFill>
            <a:effectLst/>
            <a:latin typeface="Aptos Narrow" panose="020B0004020202020204" pitchFamily="34" charset="0"/>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200" b="0" i="0" u="none" strike="noStrike">
              <a:solidFill>
                <a:srgbClr val="7F7F7F"/>
              </a:solidFill>
              <a:effectLst/>
              <a:latin typeface="Aptos Narrow" panose="020B0004020202020204" pitchFamily="34" charset="0"/>
              <a:ea typeface="+mn-ea"/>
              <a:cs typeface="+mn-cs"/>
            </a:rPr>
            <a:t>Unlike alternative investments whose concentration limits are based on the client's liquid net worth, the NSCC interval funds household calculation is comprised of assets held in any accounts custodied at LPL that share the same SSN/TaxID, any accounts that share the same address as well as direct held positions that are linked to a LPL account.  External holdings custodied outside of LPL cannot be included in the household calculation. </a:t>
          </a:r>
        </a:p>
      </xdr:txBody>
    </xdr:sp>
    <xdr:clientData/>
  </xdr:twoCellAnchor>
  <mc:AlternateContent xmlns:mc="http://schemas.openxmlformats.org/markup-compatibility/2006">
    <mc:Choice xmlns:a14="http://schemas.microsoft.com/office/drawing/2010/main" Requires="a14">
      <xdr:twoCellAnchor>
        <xdr:from>
          <xdr:col>1</xdr:col>
          <xdr:colOff>3289300</xdr:colOff>
          <xdr:row>147</xdr:row>
          <xdr:rowOff>50800</xdr:rowOff>
        </xdr:from>
        <xdr:to>
          <xdr:col>2</xdr:col>
          <xdr:colOff>2120900</xdr:colOff>
          <xdr:row>147</xdr:row>
          <xdr:rowOff>330200</xdr:rowOff>
        </xdr:to>
        <xdr:sp macro="" textlink="">
          <xdr:nvSpPr>
            <xdr:cNvPr id="9325" name="Button 109" hidden="1">
              <a:extLst>
                <a:ext uri="{63B3BB69-23CF-44E3-9099-C40C66FF867C}">
                  <a14:compatExt spid="_x0000_s9325"/>
                </a:ext>
                <a:ext uri="{FF2B5EF4-FFF2-40B4-BE49-F238E27FC236}">
                  <a16:creationId xmlns:a16="http://schemas.microsoft.com/office/drawing/2014/main" id="{00000000-0008-0000-0200-00006D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&lt;-- Clear Section 4 Inputs (Cannot Undo)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2819400</xdr:colOff>
          <xdr:row>72</xdr:row>
          <xdr:rowOff>50800</xdr:rowOff>
        </xdr:from>
        <xdr:to>
          <xdr:col>2</xdr:col>
          <xdr:colOff>1612900</xdr:colOff>
          <xdr:row>72</xdr:row>
          <xdr:rowOff>342900</xdr:rowOff>
        </xdr:to>
        <xdr:sp macro="" textlink="">
          <xdr:nvSpPr>
            <xdr:cNvPr id="9335" name="Button 119" hidden="1">
              <a:extLst>
                <a:ext uri="{63B3BB69-23CF-44E3-9099-C40C66FF867C}">
                  <a14:compatExt spid="_x0000_s9335"/>
                </a:ext>
                <a:ext uri="{FF2B5EF4-FFF2-40B4-BE49-F238E27FC236}">
                  <a16:creationId xmlns:a16="http://schemas.microsoft.com/office/drawing/2014/main" id="{00000000-0008-0000-0200-000077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&lt;-- Clear Section 3 Inputs  (Cannot Undo)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4419600</xdr:colOff>
          <xdr:row>40</xdr:row>
          <xdr:rowOff>88900</xdr:rowOff>
        </xdr:from>
        <xdr:to>
          <xdr:col>3</xdr:col>
          <xdr:colOff>914400</xdr:colOff>
          <xdr:row>40</xdr:row>
          <xdr:rowOff>304800</xdr:rowOff>
        </xdr:to>
        <xdr:sp macro="" textlink="">
          <xdr:nvSpPr>
            <xdr:cNvPr id="9337" name="Button 121" hidden="1">
              <a:extLst>
                <a:ext uri="{63B3BB69-23CF-44E3-9099-C40C66FF867C}">
                  <a14:compatExt spid="_x0000_s9337"/>
                </a:ext>
                <a:ext uri="{FF2B5EF4-FFF2-40B4-BE49-F238E27FC236}">
                  <a16:creationId xmlns:a16="http://schemas.microsoft.com/office/drawing/2014/main" id="{00000000-0008-0000-0200-00007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Clear Alternative Fund and Interval Fund Inputs (Cannot Undo)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4203700</xdr:colOff>
          <xdr:row>17</xdr:row>
          <xdr:rowOff>50800</xdr:rowOff>
        </xdr:from>
        <xdr:to>
          <xdr:col>2</xdr:col>
          <xdr:colOff>3149600</xdr:colOff>
          <xdr:row>17</xdr:row>
          <xdr:rowOff>317500</xdr:rowOff>
        </xdr:to>
        <xdr:sp macro="" textlink="">
          <xdr:nvSpPr>
            <xdr:cNvPr id="9339" name="Button 123" hidden="1">
              <a:extLst>
                <a:ext uri="{63B3BB69-23CF-44E3-9099-C40C66FF867C}">
                  <a14:compatExt spid="_x0000_s9339"/>
                </a:ext>
                <a:ext uri="{FF2B5EF4-FFF2-40B4-BE49-F238E27FC236}">
                  <a16:creationId xmlns:a16="http://schemas.microsoft.com/office/drawing/2014/main" id="{00000000-0008-0000-0200-00007B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&lt;-- Clear Section 2 Inputs (Cannot Undo)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2641600</xdr:colOff>
          <xdr:row>2</xdr:row>
          <xdr:rowOff>50800</xdr:rowOff>
        </xdr:from>
        <xdr:to>
          <xdr:col>2</xdr:col>
          <xdr:colOff>876300</xdr:colOff>
          <xdr:row>2</xdr:row>
          <xdr:rowOff>330200</xdr:rowOff>
        </xdr:to>
        <xdr:sp macro="" textlink="">
          <xdr:nvSpPr>
            <xdr:cNvPr id="9347" name="Button 131" hidden="1">
              <a:extLst>
                <a:ext uri="{63B3BB69-23CF-44E3-9099-C40C66FF867C}">
                  <a14:compatExt spid="_x0000_s9347"/>
                </a:ext>
                <a:ext uri="{FF2B5EF4-FFF2-40B4-BE49-F238E27FC236}">
                  <a16:creationId xmlns:a16="http://schemas.microsoft.com/office/drawing/2014/main" id="{00000000-0008-0000-0200-000083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&lt;-- Clear Section 1 Inputs (Cannot Undo)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2159000</xdr:colOff>
          <xdr:row>2</xdr:row>
          <xdr:rowOff>50800</xdr:rowOff>
        </xdr:from>
        <xdr:to>
          <xdr:col>7</xdr:col>
          <xdr:colOff>12700</xdr:colOff>
          <xdr:row>2</xdr:row>
          <xdr:rowOff>330200</xdr:rowOff>
        </xdr:to>
        <xdr:sp macro="" textlink="">
          <xdr:nvSpPr>
            <xdr:cNvPr id="9350" name="Button 134" hidden="1">
              <a:extLst>
                <a:ext uri="{63B3BB69-23CF-44E3-9099-C40C66FF867C}">
                  <a14:compatExt spid="_x0000_s9350"/>
                </a:ext>
                <a:ext uri="{FF2B5EF4-FFF2-40B4-BE49-F238E27FC236}">
                  <a16:creationId xmlns:a16="http://schemas.microsoft.com/office/drawing/2014/main" id="{00000000-0008-0000-0200-000086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Clear All Investment Proposal Inputs (Cannot Undo)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2146300</xdr:colOff>
          <xdr:row>4</xdr:row>
          <xdr:rowOff>0</xdr:rowOff>
        </xdr:from>
        <xdr:to>
          <xdr:col>6</xdr:col>
          <xdr:colOff>1231900</xdr:colOff>
          <xdr:row>5</xdr:row>
          <xdr:rowOff>177800</xdr:rowOff>
        </xdr:to>
        <xdr:sp macro="" textlink="">
          <xdr:nvSpPr>
            <xdr:cNvPr id="9388" name="Button 172" hidden="1">
              <a:extLst>
                <a:ext uri="{63B3BB69-23CF-44E3-9099-C40C66FF867C}">
                  <a14:compatExt spid="_x0000_s9388"/>
                </a:ext>
                <a:ext uri="{FF2B5EF4-FFF2-40B4-BE49-F238E27FC236}">
                  <a16:creationId xmlns:a16="http://schemas.microsoft.com/office/drawing/2014/main" id="{00000000-0008-0000-0200-0000AC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Add Test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266700</xdr:colOff>
          <xdr:row>2</xdr:row>
          <xdr:rowOff>127000</xdr:rowOff>
        </xdr:from>
        <xdr:to>
          <xdr:col>1</xdr:col>
          <xdr:colOff>1790700</xdr:colOff>
          <xdr:row>4</xdr:row>
          <xdr:rowOff>114300</xdr:rowOff>
        </xdr:to>
        <xdr:sp macro="" textlink="">
          <xdr:nvSpPr>
            <xdr:cNvPr id="13330" name="Button 18" hidden="1">
              <a:extLst>
                <a:ext uri="{63B3BB69-23CF-44E3-9099-C40C66FF867C}">
                  <a14:compatExt spid="_x0000_s13330"/>
                </a:ext>
                <a:ext uri="{FF2B5EF4-FFF2-40B4-BE49-F238E27FC236}">
                  <a16:creationId xmlns:a16="http://schemas.microsoft.com/office/drawing/2014/main" id="{00000000-0008-0000-0400-000012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Hide Unused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1905000</xdr:colOff>
          <xdr:row>2</xdr:row>
          <xdr:rowOff>127000</xdr:rowOff>
        </xdr:from>
        <xdr:to>
          <xdr:col>1</xdr:col>
          <xdr:colOff>3429000</xdr:colOff>
          <xdr:row>4</xdr:row>
          <xdr:rowOff>114300</xdr:rowOff>
        </xdr:to>
        <xdr:sp macro="" textlink="">
          <xdr:nvSpPr>
            <xdr:cNvPr id="13331" name="Button 19" hidden="1">
              <a:extLst>
                <a:ext uri="{63B3BB69-23CF-44E3-9099-C40C66FF867C}">
                  <a14:compatExt spid="_x0000_s13331"/>
                </a:ext>
                <a:ext uri="{FF2B5EF4-FFF2-40B4-BE49-F238E27FC236}">
                  <a16:creationId xmlns:a16="http://schemas.microsoft.com/office/drawing/2014/main" id="{00000000-0008-0000-0400-000013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Show All Rows</a:t>
              </a:r>
            </a:p>
            <a:p>
              <a:pPr algn="ctr" rtl="0">
                <a:defRPr sz="1000"/>
              </a:pPr>
              <a:endParaRPr lang="en-US"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3530600</xdr:colOff>
          <xdr:row>2</xdr:row>
          <xdr:rowOff>127000</xdr:rowOff>
        </xdr:from>
        <xdr:to>
          <xdr:col>2</xdr:col>
          <xdr:colOff>1066800</xdr:colOff>
          <xdr:row>4</xdr:row>
          <xdr:rowOff>114300</xdr:rowOff>
        </xdr:to>
        <xdr:sp macro="" textlink="">
          <xdr:nvSpPr>
            <xdr:cNvPr id="13338" name="Button 26" hidden="1">
              <a:extLst>
                <a:ext uri="{63B3BB69-23CF-44E3-9099-C40C66FF867C}">
                  <a14:compatExt spid="_x0000_s13338"/>
                </a:ext>
                <a:ext uri="{FF2B5EF4-FFF2-40B4-BE49-F238E27FC236}">
                  <a16:creationId xmlns:a16="http://schemas.microsoft.com/office/drawing/2014/main" id="{00000000-0008-0000-0400-00001A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Resize Columns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4114800</xdr:colOff>
          <xdr:row>66</xdr:row>
          <xdr:rowOff>63500</xdr:rowOff>
        </xdr:from>
        <xdr:to>
          <xdr:col>4</xdr:col>
          <xdr:colOff>558800</xdr:colOff>
          <xdr:row>67</xdr:row>
          <xdr:rowOff>266700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7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Fix Investment Calculations Table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xdr:colOff>
          <xdr:row>5</xdr:row>
          <xdr:rowOff>38100</xdr:rowOff>
        </xdr:from>
        <xdr:to>
          <xdr:col>10</xdr:col>
          <xdr:colOff>38100</xdr:colOff>
          <xdr:row>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D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 Allocation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5</xdr:row>
          <xdr:rowOff>38100</xdr:rowOff>
        </xdr:from>
        <xdr:to>
          <xdr:col>14</xdr:col>
          <xdr:colOff>38100</xdr:colOff>
          <xdr:row>7</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D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Undo / Unhide All Rows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London Chamberlain" id="{B0D03C4F-52BA-B847-A5BE-5ADA53F51944}" userId="S::London@thefoxalliance.onmicrosoft.com::24e6bbd7-0dce-4721-a5db-6c49d4b4c5bc" providerId="AD"/>
  <person displayName="Service Team" id="{94BA1B13-9834-6C43-A9CC-D670D34F94F6}" userId="S::service@thefoxalliance.onmicrosoft.com::a149e70a-0004-486b-89b5-51ab2b8378c6"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F59EC08-4BA5-1142-99CE-74E0CD2107B6}" name="Index_Manual_Percentages" displayName="Index_Manual_Percentages" ref="I98:K103" totalsRowShown="0" headerRowBorderDxfId="246" tableBorderDxfId="245" headerRowCellStyle="Explanatory Text">
  <autoFilter ref="I98:K103" xr:uid="{5F59EC08-4BA5-1142-99CE-74E0CD2107B6}">
    <filterColumn colId="0" hiddenButton="1"/>
    <filterColumn colId="1" hiddenButton="1"/>
    <filterColumn colId="2" hiddenButton="1"/>
  </autoFilter>
  <tableColumns count="3">
    <tableColumn id="1" xr3:uid="{5AAE9EE7-DC55-EE4B-AD44-D7B79D21D7F0}" name="Position" dataDxfId="244" dataCellStyle="Explanatory Text">
      <calculatedColumnFormula>LEFT(B99, FIND(" ", B99) - 1)</calculatedColumnFormula>
    </tableColumn>
    <tableColumn id="2" xr3:uid="{00B615B4-7D66-624F-82FD-FAB06BDEAA66}" name="New %" dataDxfId="243" dataCellStyle="Percent"/>
    <tableColumn id="3" xr3:uid="{A68A5B2F-E23C-C84D-A50E-64E9479D6ABF}" name="Amt in Position" dataDxfId="242" dataCellStyle="Explanatory Text">
      <calculatedColumnFormula>IF($G$99="Yes", $F$99*J99, $F$99*C99)</calculatedColumnFormula>
    </tableColumn>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5A5D9CC-5CDA-274A-9084-7204E62DE02D}" name="Index_w_SN_Manual_Percentages" displayName="Index_w_SN_Manual_Percentages" ref="I105:K109" totalsRowShown="0" headerRowBorderDxfId="241" tableBorderDxfId="240">
  <autoFilter ref="I105:K109" xr:uid="{85A5D9CC-5CDA-274A-9084-7204E62DE02D}">
    <filterColumn colId="0" hiddenButton="1"/>
    <filterColumn colId="1" hiddenButton="1"/>
    <filterColumn colId="2" hiddenButton="1"/>
  </autoFilter>
  <tableColumns count="3">
    <tableColumn id="1" xr3:uid="{82EFDCB1-DCED-A849-8F3E-AA5F3458FAD7}" name="Position" dataDxfId="239" dataCellStyle="Explanatory Text">
      <calculatedColumnFormula>LEFT(B106, FIND(" ", B106) - 1)</calculatedColumnFormula>
    </tableColumn>
    <tableColumn id="2" xr3:uid="{594CFFBD-9FFC-6B4C-BB6C-69B8B16085FF}" name="New %" dataDxfId="238" dataCellStyle="Percent"/>
    <tableColumn id="3" xr3:uid="{6B60AA9E-3646-9142-ADAE-9BEAB7965A89}" name="Amt in Position" dataDxfId="237" dataCellStyle="Explanatory Text">
      <calculatedColumnFormula>IF($G$106="Yes", $F$106*J106, $F$106*C106)</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818D094-39CC-2444-ABCF-2E32211AFDE2}" name="Growth_Manual_Percentages" displayName="Growth_Manual_Percentages" ref="I111:K114" totalsRowShown="0" headerRowBorderDxfId="236" tableBorderDxfId="235">
  <autoFilter ref="I111:K114" xr:uid="{8818D094-39CC-2444-ABCF-2E32211AFDE2}">
    <filterColumn colId="0" hiddenButton="1"/>
    <filterColumn colId="1" hiddenButton="1"/>
    <filterColumn colId="2" hiddenButton="1"/>
  </autoFilter>
  <tableColumns count="3">
    <tableColumn id="1" xr3:uid="{36901586-486E-024E-9763-FF55C651FB0E}" name="Position" dataDxfId="234" dataCellStyle="Explanatory Text">
      <calculatedColumnFormula>LEFT(B112, FIND(" ", B112) - 1)</calculatedColumnFormula>
    </tableColumn>
    <tableColumn id="2" xr3:uid="{CCABCE25-2774-4240-8317-469CE7BADE85}" name="New %" dataDxfId="233" dataCellStyle="Percent"/>
    <tableColumn id="3" xr3:uid="{6A606A3C-8B53-E244-ACBF-C7C44171BF02}" name="Amt in Position" dataDxfId="232" dataCellStyle="Explanatory Text">
      <calculatedColumnFormula>IF($G$112="Yes", $F$112*J112, $F$112*C112)</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E8F584F-B9BD-754C-BBF1-B1B8B1B6F1D0}" name="AR_Conservative_Manual_Percentages" displayName="AR_Conservative_Manual_Percentages" ref="I92:K96" totalsRowShown="0" headerRowBorderDxfId="231" tableBorderDxfId="230">
  <autoFilter ref="I92:K96" xr:uid="{4E8F584F-B9BD-754C-BBF1-B1B8B1B6F1D0}">
    <filterColumn colId="0" hiddenButton="1"/>
    <filterColumn colId="1" hiddenButton="1"/>
    <filterColumn colId="2" hiddenButton="1"/>
  </autoFilter>
  <tableColumns count="3">
    <tableColumn id="1" xr3:uid="{0C8ECE5F-C305-CF45-BF25-6BE5B8C0F02B}" name="Position" dataDxfId="229" dataCellStyle="Explanatory Text">
      <calculatedColumnFormula>LEFT(B93, FIND(" ", B93) - 1)</calculatedColumnFormula>
    </tableColumn>
    <tableColumn id="2" xr3:uid="{108182BC-5F96-8E49-862C-9A7B83F94CB5}" name="New %" dataDxfId="228" dataCellStyle="Percent"/>
    <tableColumn id="3" xr3:uid="{7FB75D74-91FE-7747-908C-BF6F08E7387C}" name="Amt in Position" dataDxfId="227" dataCellStyle="Explanatory Text">
      <calculatedColumnFormula>IF($G$93="Yes", $F$93*J93, $F$93*C93)</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88E6D5F-2DE4-3843-90AB-8600AF37F6CF}" name="AR_Moderate_Manual_Percentages" displayName="AR_Moderate_Manual_Percentages" ref="I88:K90" totalsRowShown="0" headerRowBorderDxfId="226" tableBorderDxfId="225">
  <autoFilter ref="I88:K90" xr:uid="{C88E6D5F-2DE4-3843-90AB-8600AF37F6CF}">
    <filterColumn colId="0" hiddenButton="1"/>
    <filterColumn colId="1" hiddenButton="1"/>
    <filterColumn colId="2" hiddenButton="1"/>
  </autoFilter>
  <tableColumns count="3">
    <tableColumn id="1" xr3:uid="{669C0CA7-6D0F-0145-918F-C59DF2246657}" name="Position" dataDxfId="224" dataCellStyle="Explanatory Text">
      <calculatedColumnFormula>LEFT(B89, FIND(" ", B89) - 1)</calculatedColumnFormula>
    </tableColumn>
    <tableColumn id="2" xr3:uid="{A8EC42E9-BAD7-2646-9168-6F8832F73924}" name="New %" dataDxfId="223" dataCellStyle="Percent"/>
    <tableColumn id="3" xr3:uid="{F404E336-057A-1A44-BBBD-BD5BAE2BA1FA}" name="Amt in Position" dataDxfId="222" dataCellStyle="Explanatory Text">
      <calculatedColumnFormula>IF($G$89="Yes", $F$89*J89, $F$89*C89)</calculatedColumnFormula>
    </tableColumn>
  </tableColumns>
  <tableStyleInfo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E2F97936-884C-964E-8912-718F155FD5C5}" name="AR_Moderate_Aggressive_Manual_Percentages" displayName="AR_Moderate_Aggressive_Manual_Percentages" ref="I84:K86" totalsRowShown="0" headerRowBorderDxfId="221" tableBorderDxfId="220">
  <autoFilter ref="I84:K86" xr:uid="{E2F97936-884C-964E-8912-718F155FD5C5}">
    <filterColumn colId="0" hiddenButton="1"/>
    <filterColumn colId="1" hiddenButton="1"/>
    <filterColumn colId="2" hiddenButton="1"/>
  </autoFilter>
  <tableColumns count="3">
    <tableColumn id="1" xr3:uid="{080BD8DC-8755-AE4D-820F-4BD7A1880874}" name="Position" dataDxfId="219" dataCellStyle="Explanatory Text">
      <calculatedColumnFormula>LEFT(B85, FIND(" ", B85) - 1)</calculatedColumnFormula>
    </tableColumn>
    <tableColumn id="2" xr3:uid="{18C4997C-B4CF-5948-9D87-54522B05D63A}" name="New %" dataDxfId="218" dataCellStyle="Percent"/>
    <tableColumn id="3" xr3:uid="{BF10D37F-0FE4-9647-82B7-D01CA13B2D20}" name="Amt in Position" dataDxfId="217" dataCellStyle="Explanatory Text">
      <calculatedColumnFormula>IF($G$85="Yes", $F$85*J85, $F$85*C85)</calculatedColumnFormula>
    </tableColumn>
  </tableColumns>
  <tableStyleInfo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3393781-11CF-2648-8805-555A76AD389C}" name="Fixed_Income_Conservative_Manual_Percentages" displayName="Fixed_Income_Conservative_Manual_Percentages" ref="I78:K82" totalsRowShown="0" headerRowBorderDxfId="216" tableBorderDxfId="215">
  <autoFilter ref="I78:K82" xr:uid="{43393781-11CF-2648-8805-555A76AD389C}">
    <filterColumn colId="0" hiddenButton="1"/>
    <filterColumn colId="1" hiddenButton="1"/>
    <filterColumn colId="2" hiddenButton="1"/>
  </autoFilter>
  <tableColumns count="3">
    <tableColumn id="1" xr3:uid="{74C8E78B-EC29-4E48-8126-CE0B4D75A465}" name="Position" dataDxfId="214" dataCellStyle="Explanatory Text">
      <calculatedColumnFormula>LEFT(B79, FIND(" ", B79) - 1)</calculatedColumnFormula>
    </tableColumn>
    <tableColumn id="2" xr3:uid="{B02E4459-C35C-DA48-A1A1-A77BC58F3FA1}" name="New %" dataDxfId="213" dataCellStyle="Percent"/>
    <tableColumn id="3" xr3:uid="{0DEEAF8B-0C69-614B-9DD3-B9C6424F224F}" name="Amt in Position" dataDxfId="212" dataCellStyle="Explanatory Text">
      <calculatedColumnFormula>IF($G$79="Yes", $F$79*J79, $F$79*C79)</calculatedColumnFormula>
    </tableColumn>
  </tableColumns>
  <tableStyleInfo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DCFA9CE-B4FA-A144-B796-D17551956644}" name="Equity_Income_Less_Than_1M_Manual_Percentages" displayName="Equity_Income_Less_Than_1M_Manual_Percentages" ref="I116:K120" totalsRowShown="0" headerRowBorderDxfId="211" tableBorderDxfId="210">
  <autoFilter ref="I116:K120" xr:uid="{9DCFA9CE-B4FA-A144-B796-D17551956644}">
    <filterColumn colId="0" hiddenButton="1"/>
    <filterColumn colId="1" hiddenButton="1"/>
    <filterColumn colId="2" hiddenButton="1"/>
  </autoFilter>
  <tableColumns count="3">
    <tableColumn id="1" xr3:uid="{37845632-19B4-8941-BCCF-18CDC1CB4592}" name="Position" dataDxfId="209" dataCellStyle="Explanatory Text">
      <calculatedColumnFormula>LEFT(B117, FIND(" ", B117) - 1)</calculatedColumnFormula>
    </tableColumn>
    <tableColumn id="2" xr3:uid="{D8B69CFC-4A1D-2947-BA1D-D52B0A7F2BDE}" name="New %" dataDxfId="208" dataCellStyle="Percent"/>
    <tableColumn id="3" xr3:uid="{913543BC-D74D-4A44-AFB8-5C7894F69B76}" name="Amt in Position" dataDxfId="207" dataCellStyle="Explanatory Text">
      <calculatedColumnFormula>IF($G$117="Yes", $F$117*J117, $F$117*C117)</calculatedColumnFormula>
    </tableColumn>
  </tableColumns>
  <tableStyleInfo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A979EC8-8B44-D14A-9702-F6A083A7394A}" name="Equity_Income_Greater_Than_1M_Manual_Percentages" displayName="Equity_Income_Greater_Than_1M_Manual_Percentages" ref="I122:K128" totalsRowShown="0" headerRowBorderDxfId="206" tableBorderDxfId="205">
  <autoFilter ref="I122:K128" xr:uid="{7A979EC8-8B44-D14A-9702-F6A083A7394A}">
    <filterColumn colId="0" hiddenButton="1"/>
    <filterColumn colId="1" hiddenButton="1"/>
    <filterColumn colId="2" hiddenButton="1"/>
  </autoFilter>
  <tableColumns count="3">
    <tableColumn id="1" xr3:uid="{9BE750E4-A5BB-5D42-A4BD-1AD3893F1404}" name="Position" dataDxfId="204" dataCellStyle="Explanatory Text">
      <calculatedColumnFormula>LEFT(B123, FIND(" ", B123) - 1)</calculatedColumnFormula>
    </tableColumn>
    <tableColumn id="2" xr3:uid="{5BF7DA38-0DE1-2843-9225-70E8F5C24C80}" name="New %" dataDxfId="203" dataCellStyle="Percent"/>
    <tableColumn id="3" xr3:uid="{7E0F425A-DD45-A949-AD5E-EEEAECAC9542}" name="Amt in Position" dataDxfId="202" dataCellStyle="Explanatory Text">
      <calculatedColumnFormula>IF($G$123="Yes", $F$123*J123, $F$123*C123)</calculatedColumnFormula>
    </tableColumn>
  </tableColumns>
  <tableStyleInfo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9D62953-A52D-D448-A9D3-AEA14A807D4A}" name="Real_Estate_Manual_Percentages" displayName="Real_Estate_Manual_Percentages" ref="I130:K131" totalsRowShown="0" headerRowBorderDxfId="201" tableBorderDxfId="200">
  <autoFilter ref="I130:K131" xr:uid="{E9D62953-A52D-D448-A9D3-AEA14A807D4A}">
    <filterColumn colId="0" hiddenButton="1"/>
    <filterColumn colId="1" hiddenButton="1"/>
    <filterColumn colId="2" hiddenButton="1"/>
  </autoFilter>
  <tableColumns count="3">
    <tableColumn id="1" xr3:uid="{D4C77577-1AB5-694A-9563-83A723A3E7D2}" name="Position" dataDxfId="199" dataCellStyle="Explanatory Text">
      <calculatedColumnFormula>LEFT(B131, FIND(" ", B131) - 1)</calculatedColumnFormula>
    </tableColumn>
    <tableColumn id="2" xr3:uid="{872A5CD5-62DD-3141-954E-E59DDB743FD4}" name="New %" dataDxfId="198" dataCellStyle="Percent"/>
    <tableColumn id="3" xr3:uid="{F0F5DA4D-B1AF-D646-91CB-621522ADB91F}" name="Amt in Position" dataDxfId="197" dataCellStyle="Explanatory Text">
      <calculatedColumnFormula>IF($G$131="Yes", $F$131*J131, $F$131*C131)</calculatedColumnFormula>
    </tableColumn>
  </tableColumns>
  <tableStyleInfo showFirstColumn="0"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8E72B8E-F027-A94A-848B-A0A29DB9494C}" name="Opportunistic_Manual_Percentages" displayName="Opportunistic_Manual_Percentages" ref="I133:K142" totalsRowShown="0" headerRowBorderDxfId="196" tableBorderDxfId="195">
  <autoFilter ref="I133:K142" xr:uid="{B8E72B8E-F027-A94A-848B-A0A29DB9494C}">
    <filterColumn colId="0" hiddenButton="1"/>
    <filterColumn colId="1" hiddenButton="1"/>
    <filterColumn colId="2" hiddenButton="1"/>
  </autoFilter>
  <tableColumns count="3">
    <tableColumn id="1" xr3:uid="{B2E02B6A-BA76-F744-97AB-A98E771807A5}" name="Position" dataDxfId="194" dataCellStyle="Explanatory Text"/>
    <tableColumn id="2" xr3:uid="{A833288E-93E4-7543-8A0B-7D7F20072A79}" name="New %" dataDxfId="193" dataCellStyle="Percent"/>
    <tableColumn id="3" xr3:uid="{E9F214BC-4608-0F44-9B80-D3B8FA1EEC18}" name="Amt in Position" dataDxfId="192" dataCellStyle="Explanatory Text">
      <calculatedColumnFormula>IF($G$134="Yes", $F$134*J134, $F$134*C134)</calculatedColumnFormula>
    </tableColumn>
  </tableColumns>
  <tableStyleInfo showFirstColumn="0" showLastColumn="0" showRowStripes="0"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DFA6839A-39E2-9C40-B182-FEB00B69D0BA}" name="Cash_Manual_Percentages" displayName="Cash_Manual_Percentages" ref="I144:K146" totalsRowShown="0" headerRowBorderDxfId="191" tableBorderDxfId="190">
  <autoFilter ref="I144:K146" xr:uid="{DFA6839A-39E2-9C40-B182-FEB00B69D0BA}">
    <filterColumn colId="0" hiddenButton="1"/>
    <filterColumn colId="1" hiddenButton="1"/>
    <filterColumn colId="2" hiddenButton="1"/>
  </autoFilter>
  <tableColumns count="3">
    <tableColumn id="1" xr3:uid="{FEA6D1C3-A696-7B45-8F0B-3B95ED89ED8A}" name="Position" dataDxfId="189" dataCellStyle="Explanatory Text"/>
    <tableColumn id="2" xr3:uid="{120B36AE-F27C-4743-81F5-E41D9188B997}" name="New %" dataDxfId="188" dataCellStyle="Percent"/>
    <tableColumn id="3" xr3:uid="{F107858D-0525-AA45-AED8-8905C776B448}" name="Amt in Position" dataDxfId="187" dataCellStyle="Explanatory Text">
      <calculatedColumnFormula>IF($G$131="Yes", $F$131*J145, $F$131*C145)</calculatedColumnFormula>
    </tableColumn>
  </tableColumns>
  <tableStyleInfo showFirstColumn="0" showLastColumn="0" showRowStripes="0"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8CAD822B-2D00-CB4B-AF9B-5786FC7457E0}" name="Table33" displayName="Table33" ref="B150:E243" totalsRowShown="0" headerRowDxfId="186" dataDxfId="185" tableBorderDxfId="184">
  <autoFilter ref="B150:E243" xr:uid="{8CAD822B-2D00-CB4B-AF9B-5786FC7457E0}">
    <filterColumn colId="0" hiddenButton="1"/>
    <filterColumn colId="1" hiddenButton="1"/>
    <filterColumn colId="2" hiddenButton="1"/>
    <filterColumn colId="3" hiddenButton="1"/>
  </autoFilter>
  <tableColumns count="4">
    <tableColumn id="1" xr3:uid="{DE362230-5DD5-0042-9AF6-F097231BF7B3}" name="Investment Name" dataDxfId="183" dataCellStyle="Explanatory Text">
      <calculatedColumnFormula>'Inv. Proposal Calculations'!B70</calculatedColumnFormula>
    </tableColumn>
    <tableColumn id="2" xr3:uid="{DCF38164-8933-F64B-93F6-84C50E25C36F}" name="Ticker *Must Match Proposal Inputs*" dataDxfId="182" dataCellStyle="Explanatory Text">
      <calculatedColumnFormula>_xlfn.XLOOKUP(Table33[[#This Row],[Investment Name]], Investment_Proposal_Calculations[ACT &amp; D Name], Investment_Proposal_Calculations[Ticker **Must Match Investment Proposal Inputs**])</calculatedColumnFormula>
    </tableColumn>
    <tableColumn id="3" xr3:uid="{8C106F0C-C594-9D47-83A2-413801E73E95}" name="Sum" dataDxfId="181" dataCellStyle="Currency">
      <calculatedColumnFormula>_xlfn.XLOOKUP(Table33[[#This Row],[Investment Name]], Investment_Proposal_Calculations[ACT &amp; D Name], Investment_Proposal_Calculations[Sum from Inputs])</calculatedColumnFormula>
    </tableColumn>
    <tableColumn id="4" xr3:uid="{5606A408-3B0B-E34D-9D28-676B2DC1A1BD}" name="Override Investment Amount" dataDxfId="180" dataCellStyle="Percent"/>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A3B20DD-DDD0-374D-96D4-1C2C6D9B74ED}" name="Fixed_Income_Conservative" displayName="Fixed_Income_Conservative" ref="E78:G79" totalsRowShown="0" headerRowCellStyle="Explanatory Text">
  <autoFilter ref="E78:G79" xr:uid="{AA3B20DD-DDD0-374D-96D4-1C2C6D9B74ED}">
    <filterColumn colId="0" hiddenButton="1"/>
    <filterColumn colId="1" hiddenButton="1"/>
    <filterColumn colId="2" hiddenButton="1"/>
  </autoFilter>
  <tableColumns count="3">
    <tableColumn id="1" xr3:uid="{F6B5DDCE-B13A-574F-9223-14FA09E6EF2B}" name="% of Amt Remaining for Sleeves in Fixed Income Conservative" dataDxfId="179" dataCellStyle="Percent"/>
    <tableColumn id="2" xr3:uid="{756577C0-DBEF-C94E-B58B-C7DE9F0D0E56}" name="Amt In Fixed Income Conservative" dataDxfId="178" dataCellStyle="Explanatory Text">
      <calculatedColumnFormula>$B$39*E79</calculatedColumnFormula>
    </tableColumn>
    <tableColumn id="3" xr3:uid="{E311A4EE-D1B5-0C43-92A5-DAF21A02FFF6}" name="Change Percentages?" dataDxfId="177" dataCellStyle="Percent"/>
  </tableColumns>
  <tableStyleInfo showFirstColumn="0" showLastColumn="0" showRowStripes="0"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DBB79C7-31FE-2849-B292-319F146D83AA}" name="AR_Moderate_Aggressive" displayName="AR_Moderate_Aggressive" ref="E84:G85" totalsRowShown="0" headerRowCellStyle="Explanatory Text">
  <autoFilter ref="E84:G85" xr:uid="{EDBB79C7-31FE-2849-B292-319F146D83AA}">
    <filterColumn colId="0" hiddenButton="1"/>
    <filterColumn colId="1" hiddenButton="1"/>
    <filterColumn colId="2" hiddenButton="1"/>
  </autoFilter>
  <tableColumns count="3">
    <tableColumn id="1" xr3:uid="{3709607A-0A8F-8740-9C46-3D14C10DB9D5}" name="% of Amt Remaining for Sleeves in AR Moderate/Aggressive" dataDxfId="176" dataCellStyle="Percent"/>
    <tableColumn id="2" xr3:uid="{83F827A7-1975-664B-8959-B5981E70274B}" name="Amt In AR Moderate/Aggressive" dataDxfId="175" dataCellStyle="Explanatory Text">
      <calculatedColumnFormula>$B$39*E85</calculatedColumnFormula>
    </tableColumn>
    <tableColumn id="3" xr3:uid="{DC21C026-9E3D-6D4C-8768-6E09A8D9A861}" name="Change Percentages?" dataDxfId="174" dataCellStyle="Percent"/>
  </tableColumns>
  <tableStyleInfo showFirstColumn="0" showLastColumn="0" showRowStripes="0"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EE77EE00-002F-6E42-8E4B-985C8CE0B2E7}" name="AR_Moderate" displayName="AR_Moderate" ref="E88:G89" totalsRowShown="0" headerRowCellStyle="Explanatory Text">
  <autoFilter ref="E88:G89" xr:uid="{EE77EE00-002F-6E42-8E4B-985C8CE0B2E7}">
    <filterColumn colId="0" hiddenButton="1"/>
    <filterColumn colId="1" hiddenButton="1"/>
    <filterColumn colId="2" hiddenButton="1"/>
  </autoFilter>
  <tableColumns count="3">
    <tableColumn id="1" xr3:uid="{4DD0A231-F5D3-9746-B5CD-773974F63C24}" name="% of Amt Remaining for Sleeves in AR Moderate" dataDxfId="173" dataCellStyle="Percent"/>
    <tableColumn id="2" xr3:uid="{9F0723BB-4302-4D49-82A9-E512C8317591}" name="Amt In AR Moderate" dataDxfId="172" dataCellStyle="Explanatory Text">
      <calculatedColumnFormula>$B$39*E89</calculatedColumnFormula>
    </tableColumn>
    <tableColumn id="3" xr3:uid="{F7A03C36-B551-864F-AEC3-4862FBFE9D88}" name="Change Percentages?" dataDxfId="171" dataCellStyle="Percent"/>
  </tableColumns>
  <tableStyleInfo showFirstColumn="0" showLastColumn="0" showRowStripes="0"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1AD8AE87-3DF5-0C47-8F26-EAE2A7B8079F}" name="AR_Conservative" displayName="AR_Conservative" ref="E92:G93" totalsRowShown="0" headerRowCellStyle="Explanatory Text">
  <autoFilter ref="E92:G93" xr:uid="{1AD8AE87-3DF5-0C47-8F26-EAE2A7B8079F}">
    <filterColumn colId="0" hiddenButton="1"/>
    <filterColumn colId="1" hiddenButton="1"/>
    <filterColumn colId="2" hiddenButton="1"/>
  </autoFilter>
  <tableColumns count="3">
    <tableColumn id="1" xr3:uid="{C2D0F413-A29E-F943-A9DC-58B0A274F6DF}" name="% of Amt Remaining for Sleeves in AR Conservative" dataDxfId="170" dataCellStyle="Percent"/>
    <tableColumn id="2" xr3:uid="{734ED7E2-BE3A-F54A-807C-8E306B1175C9}" name="Amt In AR Conservative" dataDxfId="169" dataCellStyle="Explanatory Text">
      <calculatedColumnFormula>$B$39*E93</calculatedColumnFormula>
    </tableColumn>
    <tableColumn id="3" xr3:uid="{4BB1B091-E716-B347-95C1-7296D2ECF7AB}" name="Change Percentages?" dataDxfId="168" dataCellStyle="Percent"/>
  </tableColumns>
  <tableStyleInfo showFirstColumn="0" showLastColumn="0" showRowStripes="0"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F0EAD8CF-5E5B-CC43-A99D-5F899970FE0C}" name="Index" displayName="Index" ref="E98:G99" totalsRowShown="0" headerRowCellStyle="Explanatory Text">
  <autoFilter ref="E98:G99" xr:uid="{F0EAD8CF-5E5B-CC43-A99D-5F899970FE0C}">
    <filterColumn colId="0" hiddenButton="1"/>
    <filterColumn colId="1" hiddenButton="1"/>
    <filterColumn colId="2" hiddenButton="1"/>
  </autoFilter>
  <tableColumns count="3">
    <tableColumn id="1" xr3:uid="{440567FE-FC09-FC4B-A09D-567765885DC1}" name="% of Amt Remaining for Sleeves in Index" dataDxfId="167" dataCellStyle="Percent"/>
    <tableColumn id="2" xr3:uid="{EC6EBEA7-76F8-544B-B826-D0D3E4CFC2F7}" name="Amt In Index" dataDxfId="166" dataCellStyle="Explanatory Text">
      <calculatedColumnFormula>$B$39*E99</calculatedColumnFormula>
    </tableColumn>
    <tableColumn id="3" xr3:uid="{7D580652-F3D4-974E-A069-CF4ED414FD1C}" name="Change Sleeve Precentages?" dataDxfId="165" dataCellStyle="Percent"/>
  </tableColumns>
  <tableStyleInfo showFirstColumn="0" showLastColumn="0" showRowStripes="0"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A4960BB-7FA9-1247-A3E5-EEF36B482D7C}" name="Index_w_SN" displayName="Index_w_SN" ref="E105:G106" totalsRowShown="0" headerRowCellStyle="Explanatory Text">
  <autoFilter ref="E105:G106" xr:uid="{DA4960BB-7FA9-1247-A3E5-EEF36B482D7C}">
    <filterColumn colId="0" hiddenButton="1"/>
    <filterColumn colId="1" hiddenButton="1"/>
    <filterColumn colId="2" hiddenButton="1"/>
  </autoFilter>
  <tableColumns count="3">
    <tableColumn id="1" xr3:uid="{37E230E4-2640-F944-A7CC-1312AA05BF05}" name="% of Amt Remaining for Sleeves in Index w/ SN" dataDxfId="164" dataCellStyle="Percent"/>
    <tableColumn id="2" xr3:uid="{719E6F13-4572-E74A-A63A-E05C7A3DDF08}" name="Amt In Index w/ SN" dataDxfId="163" dataCellStyle="Explanatory Text">
      <calculatedColumnFormula>$B$39*E106</calculatedColumnFormula>
    </tableColumn>
    <tableColumn id="3" xr3:uid="{50798228-53C8-4F4B-B972-2DBC1459EB4B}" name="Change Percentages?" dataDxfId="162" dataCellStyle="Percent"/>
  </tableColumns>
  <tableStyleInfo showFirstColumn="0" showLastColumn="0" showRowStripes="0"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1B27057-73C7-C744-B010-7F6DE581961F}" name="Growth" displayName="Growth" ref="E111:G112" totalsRowShown="0" headerRowCellStyle="Explanatory Text">
  <autoFilter ref="E111:G112" xr:uid="{01B27057-73C7-C744-B010-7F6DE581961F}">
    <filterColumn colId="0" hiddenButton="1"/>
    <filterColumn colId="1" hiddenButton="1"/>
    <filterColumn colId="2" hiddenButton="1"/>
  </autoFilter>
  <tableColumns count="3">
    <tableColumn id="1" xr3:uid="{087831AA-FDA5-624A-9502-114B33F1DB3C}" name="% of Amt Remaining for Sleeves in Growth " dataDxfId="161" dataCellStyle="Percent"/>
    <tableColumn id="2" xr3:uid="{CBAE1CFD-64B1-8F46-A126-02032418E627}" name="Amt In Growth " dataDxfId="160" dataCellStyle="Explanatory Text">
      <calculatedColumnFormula>$B$39*E112</calculatedColumnFormula>
    </tableColumn>
    <tableColumn id="3" xr3:uid="{D57CAAA6-CF0E-224E-AAEF-40D79088BAB2}" name="Change Percentages?" dataDxfId="159" dataCellStyle="Percent"/>
  </tableColumns>
  <tableStyleInfo showFirstColumn="0" showLastColumn="0" showRowStripes="0"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A465573A-D5EC-8843-9A60-CB444E93E80B}" name="Equity_Income_Less_Than_1M" displayName="Equity_Income_Less_Than_1M" ref="E116:G117" totalsRowShown="0" headerRowCellStyle="Explanatory Text">
  <autoFilter ref="E116:G117" xr:uid="{A465573A-D5EC-8843-9A60-CB444E93E80B}">
    <filterColumn colId="0" hiddenButton="1"/>
    <filterColumn colId="1" hiddenButton="1"/>
    <filterColumn colId="2" hiddenButton="1"/>
  </autoFilter>
  <tableColumns count="3">
    <tableColumn id="1" xr3:uid="{FE2653EF-FC89-044D-964A-5B186526F290}" name="% of Amt Remaining for Sleeves in Equity Income (&lt; 1M)" dataDxfId="158" dataCellStyle="Percent"/>
    <tableColumn id="2" xr3:uid="{D651D73B-10C0-404E-9048-C6568C286CA7}" name="Amt In Equity Income (&lt; 1M)" dataDxfId="157" dataCellStyle="Explanatory Text">
      <calculatedColumnFormula>$B$39*E117</calculatedColumnFormula>
    </tableColumn>
    <tableColumn id="3" xr3:uid="{C6980283-1A73-4B40-9803-C037C5857089}" name="Change Percentages?" dataDxfId="156" dataCellStyle="Percent"/>
  </tableColumns>
  <tableStyleInfo showFirstColumn="0" showLastColumn="0" showRowStripes="0"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77C40A8E-8AFA-1446-A2A5-3AFE879DEF20}" name="Equity_Income_Greater_Than_1M" displayName="Equity_Income_Greater_Than_1M" ref="E122:G123" totalsRowShown="0" headerRowCellStyle="Explanatory Text">
  <autoFilter ref="E122:G123" xr:uid="{77C40A8E-8AFA-1446-A2A5-3AFE879DEF20}">
    <filterColumn colId="0" hiddenButton="1"/>
    <filterColumn colId="1" hiddenButton="1"/>
    <filterColumn colId="2" hiddenButton="1"/>
  </autoFilter>
  <tableColumns count="3">
    <tableColumn id="1" xr3:uid="{CE542D03-79DF-454E-ACC2-C77E0A32A9A0}" name="% of Amt Remaining for Sleeves in Equity Income (1M+)" dataDxfId="155" dataCellStyle="Percent"/>
    <tableColumn id="2" xr3:uid="{05429858-2F46-1440-AAE6-AF3AB07CD130}" name="Amt In Equity Income (1M+)" dataDxfId="154" dataCellStyle="Explanatory Text">
      <calculatedColumnFormula>$B$39*E123</calculatedColumnFormula>
    </tableColumn>
    <tableColumn id="3" xr3:uid="{B77E1577-91B9-BD40-B746-DBB0B4432A0E}" name="Change Percentages?" dataDxfId="153" dataCellStyle="Percent"/>
  </tableColumns>
  <tableStyleInfo showFirstColumn="0" showLastColumn="0" showRowStripes="0"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55811BBC-864E-FC45-8D60-DD91B0C299E6}" name="Real_Estate" displayName="Real_Estate" ref="E130:G131" totalsRowShown="0" headerRowCellStyle="Explanatory Text">
  <autoFilter ref="E130:G131" xr:uid="{55811BBC-864E-FC45-8D60-DD91B0C299E6}">
    <filterColumn colId="0" hiddenButton="1"/>
    <filterColumn colId="1" hiddenButton="1"/>
    <filterColumn colId="2" hiddenButton="1"/>
  </autoFilter>
  <tableColumns count="3">
    <tableColumn id="1" xr3:uid="{C57610D2-6C0D-B24A-9A1E-D225510F0E0F}" name="% of Amt Remaining for Sleeves in Real Estate" dataDxfId="152" dataCellStyle="Percent"/>
    <tableColumn id="2" xr3:uid="{FEF453EC-0479-1745-B1AF-C8D29ABA8E29}" name="Amt In Real Estate" dataDxfId="151" dataCellStyle="Explanatory Text">
      <calculatedColumnFormula>$B$39*E131</calculatedColumnFormula>
    </tableColumn>
    <tableColumn id="3" xr3:uid="{889CD222-1816-6444-BDC1-4EC8DAB95432}" name="Change Percentages?" dataDxfId="150" dataCellStyle="Percent"/>
  </tableColumns>
  <tableStyleInfo showFirstColumn="0" showLastColumn="0" showRowStripes="0"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20D41AD-EF20-E240-B96D-DED9F4002270}" name="Opportunistic" displayName="Opportunistic" ref="E133:G134" totalsRowShown="0" headerRowCellStyle="Explanatory Text">
  <autoFilter ref="E133:G134" xr:uid="{220D41AD-EF20-E240-B96D-DED9F4002270}">
    <filterColumn colId="0" hiddenButton="1"/>
    <filterColumn colId="1" hiddenButton="1"/>
    <filterColumn colId="2" hiddenButton="1"/>
  </autoFilter>
  <tableColumns count="3">
    <tableColumn id="1" xr3:uid="{60623B64-D92D-744F-89AC-6ACE5E9A658F}" name="% of Amt Remaining for Sleeves in Opportunistic " dataDxfId="149" dataCellStyle="Percent"/>
    <tableColumn id="2" xr3:uid="{FC12D83A-D9E4-E84B-A33B-B9C8C78EAB1D}" name="Amt In Opportunistic " dataDxfId="148" dataCellStyle="Explanatory Text">
      <calculatedColumnFormula>$B$39*E134</calculatedColumnFormula>
    </tableColumn>
    <tableColumn id="3" xr3:uid="{0AA78717-B96D-884F-BE20-703361638B0F}" name="Change Percentages?" dataDxfId="147" dataCellStyle="Percent"/>
  </tableColumns>
  <tableStyleInfo showFirstColumn="0" showLastColumn="0" showRowStripes="0"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BB30E635-5DAB-3341-9146-0C3AF106BE0E}" name="Cash" displayName="Cash" ref="E144:G145" totalsRowShown="0" headerRowCellStyle="Explanatory Text">
  <autoFilter ref="E144:G145" xr:uid="{BB30E635-5DAB-3341-9146-0C3AF106BE0E}">
    <filterColumn colId="0" hiddenButton="1"/>
    <filterColumn colId="1" hiddenButton="1"/>
    <filterColumn colId="2" hiddenButton="1"/>
  </autoFilter>
  <tableColumns count="3">
    <tableColumn id="1" xr3:uid="{DC093999-E637-6C44-8C21-807D3C424380}" name="% of Total Investments for Cash" dataDxfId="146" dataCellStyle="Percent"/>
    <tableColumn id="2" xr3:uid="{810CF3D7-EFA9-1248-87E8-52613769D847}" name="Amt In Cash" dataDxfId="145" dataCellStyle="Explanatory Text">
      <calculatedColumnFormula>$B$30*E145</calculatedColumnFormula>
    </tableColumn>
    <tableColumn id="3" xr3:uid="{C366FA38-2B58-7241-A38F-46D184F91FAD}" name="Change Percentages?" dataDxfId="144" dataCellStyle="Percent"/>
  </tableColumns>
  <tableStyleInfo showFirstColumn="0" showLastColumn="0" showRowStripes="0"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A63CB28-7673-C248-87D6-7C1EF368A6C4}" name="Office_Addresses" displayName="Office_Addresses" ref="B16:C23" totalsRowShown="0" headerRowDxfId="139" dataDxfId="138">
  <autoFilter ref="B16:C23" xr:uid="{4A63CB28-7673-C248-87D6-7C1EF368A6C4}"/>
  <tableColumns count="2">
    <tableColumn id="1" xr3:uid="{9199A91B-3436-CE4C-8B4D-134489626B7A}" name="Location" dataDxfId="137"/>
    <tableColumn id="2" xr3:uid="{707C862E-38E3-B04D-9ADE-3EE460F20068}" name="Address (Pasted on bottom of Proposal)" dataDxfId="136"/>
  </tableColumns>
  <tableStyleInfo name="TableStyleMedium4"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2F45045-1541-3345-8E47-86FC125E6A22}" name="Alt_Guidelines_Holder_Under_70" displayName="Alt_Guidelines_Holder_Under_70" ref="B29:E35" totalsRowShown="0" headerRowDxfId="135" dataDxfId="133" headerRowBorderDxfId="134" tableBorderDxfId="132" totalsRowBorderDxfId="131">
  <autoFilter ref="B29:E35" xr:uid="{B2F45045-1541-3345-8E47-86FC125E6A22}"/>
  <tableColumns count="4">
    <tableColumn id="1" xr3:uid="{70E905F9-2B7E-784C-9F4A-473A2EFDDDFC}" name="Investment Objective" dataDxfId="130"/>
    <tableColumn id="2" xr3:uid="{7ECC1B38-791E-A042-9CDD-E2FE15900D92}" name="LNW &lt; $999,999 &amp; Acct Holder &lt; 70" dataDxfId="129" dataCellStyle="Percent"/>
    <tableColumn id="3" xr3:uid="{082BE0AF-1856-1F48-95E3-595711E8BF25}" name="$1M &lt; LNW &lt; $4.9M &amp; Acct Holder &lt; 70" dataDxfId="128" dataCellStyle="Percent"/>
    <tableColumn id="4" xr3:uid="{376537F9-E080-2641-B91D-1BD3CF1B913E}" name="$5.0M &lt; LNW &amp; Acct Holder &lt; 70" dataDxfId="127" dataCellStyle="Percent"/>
  </tableColumns>
  <tableStyleInfo name="TableStyleMedium4"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63A573A-5C01-CD4C-88F5-FC75BE92B201}" name="Alt_Guidelines_Holder_Over_70" displayName="Alt_Guidelines_Holder_Over_70" ref="B37:E43" totalsRowShown="0" headerRowDxfId="126" dataDxfId="124" headerRowBorderDxfId="125" tableBorderDxfId="123" totalsRowBorderDxfId="122">
  <autoFilter ref="B37:E43" xr:uid="{363A573A-5C01-CD4C-88F5-FC75BE92B201}"/>
  <tableColumns count="4">
    <tableColumn id="1" xr3:uid="{4EAA334E-5199-EA49-BFCA-73589EA25DDA}" name="Investment Objective" dataDxfId="121"/>
    <tableColumn id="2" xr3:uid="{333C0DD8-7142-9041-8496-8832CB5BEC13}" name="LNW &lt; $999,999 &amp; Acct Holder &gt; 70" dataDxfId="120" dataCellStyle="Percent"/>
    <tableColumn id="3" xr3:uid="{0C5A8FFE-62AA-F746-B26F-29A6F9A6D9DB}" name="$1M &lt; LNW &lt; $4.9M &amp; Acct Holder &gt; 70" dataDxfId="119" dataCellStyle="Percent"/>
    <tableColumn id="4" xr3:uid="{399EC7EC-9B07-E946-9DC5-F7520F9300B3}" name="$5.0M &lt; LNW &amp; Acct Holder &gt; 70" dataDxfId="118" dataCellStyle="Percent"/>
  </tableColumns>
  <tableStyleInfo name="TableStyleMedium4"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80AB88-8A49-EB44-BA6F-46F1FB3C337F}" name="Table31" displayName="Table31" ref="E4:E23" totalsRowShown="0" headerRowDxfId="117" headerRowBorderDxfId="116">
  <autoFilter ref="E4:E23" xr:uid="{8980AB88-8A49-EB44-BA6F-46F1FB3C337F}"/>
  <tableColumns count="1">
    <tableColumn id="1" xr3:uid="{76398122-6662-F245-A7F7-97337A979489}" name="Advisor(s)"/>
  </tableColumns>
  <tableStyleInfo name="TableStyleMedium4"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83DBE7A8-6348-7A48-9984-62D7982CCA77}" name="Table37" displayName="Table37" ref="B4:B13" totalsRowShown="0" headerRowDxfId="115" headerRowBorderDxfId="114" tableBorderDxfId="113">
  <autoFilter ref="B4:B13" xr:uid="{83DBE7A8-6348-7A48-9984-62D7982CCA77}"/>
  <tableColumns count="1">
    <tableColumn id="1" xr3:uid="{EF38E53E-ACC1-B743-9A58-2B1EE7D06F17}" name="Investment Name"/>
  </tableColumns>
  <tableStyleInfo name="TableStyleMedium4"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CAB9056E-606C-114E-9FFB-2DE8AEF8C86C}" name="Investment_Proposal_Calculations" displayName="Investment_Proposal_Calculations" ref="B69:E162" totalsRowShown="0" headerRowDxfId="112">
  <autoFilter ref="B69:E162" xr:uid="{CAB9056E-606C-114E-9FFB-2DE8AEF8C86C}">
    <filterColumn colId="0" hiddenButton="1"/>
    <filterColumn colId="1" hiddenButton="1"/>
    <filterColumn colId="2" hiddenButton="1"/>
    <filterColumn colId="3" hiddenButton="1"/>
  </autoFilter>
  <sortState xmlns:xlrd2="http://schemas.microsoft.com/office/spreadsheetml/2017/richdata2" ref="B70:D95">
    <sortCondition ref="B69:B95"/>
  </sortState>
  <tableColumns count="4">
    <tableColumn id="1" xr3:uid="{7E02476E-2914-1848-88FF-9E5B05E373D8}" name="ACT &amp; D Name">
      <calculatedColumnFormula>IF(OR('Asset Class Tables and Dropdown'!A3 &lt;&gt; "Real Estate", 'Asset Class Tables and Dropdown'!A3 &lt;&gt; "Name", 'Asset Class Tables and Dropdown'!A3 &lt;&gt; "Private Lending", 'Asset Class Tables and Dropdown'!A3 &lt;&gt; "Private Equity", 'Asset Class Tables and Dropdown'!A3 &lt;&gt; "Natural Resources", 'Asset Class Tables and Dropdown'!A3 &lt;&gt; "Absolute Return", 'Asset Class Tables and Dropdown'!A3 &lt;&gt; "Fixed Income", 'Asset Class Tables and Dropdown'!A3 &lt;&gt; "Public Equity", 'Asset Class Tables and Dropdown'!A3 &lt;&gt; ""), 'Asset Class Tables and Dropdown'!A3, "")</calculatedColumnFormula>
    </tableColumn>
    <tableColumn id="2" xr3:uid="{3BF589F7-967B-9F42-9A52-D4A9C67886A8}" name="Ticker **Must Match Investment Proposal Inputs**"/>
    <tableColumn id="3" xr3:uid="{84A88CF8-EB64-C945-9AD2-09A290E0D834}" name="Sum from Inputs" dataCellStyle="Currency">
      <calculatedColumnFormula>SUMIF('Investment Proposal Inputs'!$M$29:$M$201, Investment_Proposal_Calculations[[#This Row],[Ticker **Must Match Investment Proposal Inputs**]], 'Investment Proposal Inputs'!$N$29:$N$201)</calculatedColumnFormula>
    </tableColumn>
    <tableColumn id="4" xr3:uid="{3B7532EA-7C77-034C-B8BC-9F7BF76EA3AF}" name="Keep Row?" dataDxfId="111">
      <calculatedColumnFormula>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calculatedColumnFormula>
    </tableColumn>
  </tableColumns>
  <tableStyleInfo name="TableStyleMedium4"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502F3D5-E1A9-7648-8C0F-9BEE12468ABB}" name="Office_Addresses46" displayName="Office_Addresses46" ref="B16:C23" totalsRowShown="0" headerRowDxfId="110" dataDxfId="109">
  <autoFilter ref="B16:C23" xr:uid="{4A63CB28-7673-C248-87D6-7C1EF368A6C4}"/>
  <tableColumns count="2">
    <tableColumn id="1" xr3:uid="{01B2AE39-DAF6-C845-A8DE-0B4E65616668}" name="Location" dataDxfId="108"/>
    <tableColumn id="2" xr3:uid="{1DDBDA04-25B6-6744-8FB7-6C1F1C57ADD9}" name="Address (Pasted on bottom of Proposal)" dataDxfId="107"/>
  </tableColumns>
  <tableStyleInfo name="TableStyleMedium4"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109D3EA-4B0B-2F4D-88B5-8964CB915666}" name="Alt_Guidelines_Holder_Under_7047" displayName="Alt_Guidelines_Holder_Under_7047" ref="B29:E35" totalsRowShown="0" headerRowDxfId="106" dataDxfId="104" headerRowBorderDxfId="105" tableBorderDxfId="103" totalsRowBorderDxfId="102">
  <autoFilter ref="B29:E35" xr:uid="{B2F45045-1541-3345-8E47-86FC125E6A22}"/>
  <tableColumns count="4">
    <tableColumn id="1" xr3:uid="{C99412B4-2309-584D-A489-AFE5EFA8A849}" name="Investment Objective" dataDxfId="101"/>
    <tableColumn id="2" xr3:uid="{57B0DDB0-A850-814D-BD1C-8BCC5BF699C7}" name="LNW &lt; $999,999 &amp; Acct Holder &lt; 70" dataDxfId="100" dataCellStyle="Percent"/>
    <tableColumn id="3" xr3:uid="{39F2A798-6524-3E40-8EB2-3CDDA5909300}" name="$1M &lt; LNW &lt; $4.9M &amp; Acct Holder &lt; 70" dataDxfId="99" dataCellStyle="Percent"/>
    <tableColumn id="4" xr3:uid="{B4D0AA99-F90D-F84D-B661-60FF5DE62E40}" name="$5.0M &lt; LNW &amp; Acct Holder &lt; 70" dataDxfId="98" dataCellStyle="Percent"/>
  </tableColumns>
  <tableStyleInfo name="TableStyleMedium4"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2F517B48-472E-614C-A161-8AD33F660A43}" name="Alt_Guidelines_Holder_Over_7048" displayName="Alt_Guidelines_Holder_Over_7048" ref="B37:E43" totalsRowShown="0" headerRowDxfId="97" dataDxfId="95" headerRowBorderDxfId="96" tableBorderDxfId="94" totalsRowBorderDxfId="93">
  <autoFilter ref="B37:E43" xr:uid="{363A573A-5C01-CD4C-88F5-FC75BE92B201}"/>
  <tableColumns count="4">
    <tableColumn id="1" xr3:uid="{B6FBED5A-CE74-FE40-9AC5-B2E8C9AD3875}" name="Investment Objective" dataDxfId="92"/>
    <tableColumn id="2" xr3:uid="{A244D96E-297E-2C47-9BFC-6C8CE3D4A3DA}" name="LNW &lt; $999,999 &amp; Acct Holder &gt; 70" dataDxfId="91" dataCellStyle="Percent"/>
    <tableColumn id="3" xr3:uid="{17F14EFA-67DA-5A43-8915-B6D52EF58372}" name="$1M &lt; LNW &lt; $4.9M &amp; Acct Holder &gt; 70" dataDxfId="90" dataCellStyle="Percent"/>
    <tableColumn id="4" xr3:uid="{FD79DA91-A2A1-7E4D-A330-D8F7EA79FD2C}" name="$5.0M &lt; LNW &amp; Acct Holder &gt; 70" dataDxfId="89" dataCellStyle="Percent"/>
  </tableColumns>
  <tableStyleInfo name="TableStyleMedium4"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9FF50A4-41D6-5F46-A0B1-53EA891ABBAF}" name="Table3149" displayName="Table3149" ref="E4:E23" totalsRowShown="0" headerRowDxfId="88" headerRowBorderDxfId="87">
  <autoFilter ref="E4:E23" xr:uid="{8980AB88-8A49-EB44-BA6F-46F1FB3C337F}"/>
  <tableColumns count="1">
    <tableColumn id="1" xr3:uid="{93D3893B-688E-124B-8325-A33C4722E3BF}" name="Advisor(s)"/>
  </tableColumns>
  <tableStyleInfo name="TableStyleMedium4"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CAB0D7C-A51D-4A4C-A84C-B626C4D30EC0}" name="Table3750" displayName="Table3750" ref="B4:B13" totalsRowShown="0" headerRowDxfId="86" headerRowBorderDxfId="85" tableBorderDxfId="84">
  <autoFilter ref="B4:B13" xr:uid="{83DBE7A8-6348-7A48-9984-62D7982CCA77}"/>
  <tableColumns count="1">
    <tableColumn id="1" xr3:uid="{F0E6BBAA-8BDA-D741-9EF4-55A1542D8FC4}" name="Investment Name"/>
  </tableColumns>
  <tableStyleInfo name="TableStyleMedium4"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5533770F-7CE0-0347-9DD5-37E4836A015A}" name="Investment_Proposal_Calculations51" displayName="Investment_Proposal_Calculations51" ref="B56:E197" totalsRowShown="0" headerRowDxfId="83">
  <autoFilter ref="B56:E197" xr:uid="{0DE7DDDF-6391-8D47-AD78-2641309DC1E5}"/>
  <sortState xmlns:xlrd2="http://schemas.microsoft.com/office/spreadsheetml/2017/richdata2" ref="B57:D146">
    <sortCondition ref="B56:B146"/>
  </sortState>
  <tableColumns count="4">
    <tableColumn id="1" xr3:uid="{4EB2113E-FA36-B846-9A1A-0A353A828B66}" name="Name">
      <calculatedColumnFormula>IF(OR('Asset Class Tables and Dropdown'!A1 &lt;&gt; "Real Estate", 'Asset Class Tables and Dropdown'!A1 &lt;&gt; "Name", 'Asset Class Tables and Dropdown'!A1 &lt;&gt; "Private Lending", 'Asset Class Tables and Dropdown'!A1 &lt;&gt; "Private Equity", 'Asset Class Tables and Dropdown'!A1 &lt;&gt; "Natural Resources", 'Asset Class Tables and Dropdown'!A1 &lt;&gt; "Absolute Return", 'Asset Class Tables and Dropdown'!A1 &lt;&gt; "Fixed Income", 'Asset Class Tables and Dropdown'!A1 &lt;&gt; "Public Equity", 'Asset Class Tables and Dropdown'!A1 &lt;&gt; ""), 'Asset Class Tables and Dropdown'!A1, "")</calculatedColumnFormula>
    </tableColumn>
    <tableColumn id="2" xr3:uid="{E6610B41-209D-394C-B184-ECD273EF6052}" name="Ticker **Must Match Investment Proposal Inputs**"/>
    <tableColumn id="3" xr3:uid="{75AC1918-34F7-A34F-94E8-73B31F8DACB7}" name="Sum from Inputs" dataCellStyle="Currency">
      <calculatedColumnFormula>SUMIF('Investment Proposal Inputs'!$M$29:$M$141, Investment_Proposal_Calculations51[[#This Row],[Ticker **Must Match Investment Proposal Inputs**]], 'Investment Proposal Inputs'!$N$29:$N$141)</calculatedColumnFormula>
    </tableColumn>
    <tableColumn id="4" xr3:uid="{9A6D0072-FF08-FF47-AFB6-81FCF8D56254}" name="Keep Row?" dataDxfId="82">
      <calculatedColumnFormula>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calculatedColumnFormula>
    </tableColumn>
  </tableColumns>
  <tableStyleInfo name="TableStyleMedium4"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7623A55-9E99-2B43-9DBD-9D29FA4EA91B}" name="Index_Sleeve" displayName="Index_Sleeve" ref="B5:C10" totalsRowShown="0" headerRowDxfId="81" dataDxfId="80">
  <autoFilter ref="B5:C10" xr:uid="{C7623A55-9E99-2B43-9DBD-9D29FA4EA91B}"/>
  <tableColumns count="2">
    <tableColumn id="1" xr3:uid="{96DC619D-0C42-EB4A-BBD3-17C9384DFD9E}" name="Positions" dataDxfId="79"/>
    <tableColumn id="2" xr3:uid="{80F245C6-EF31-704C-A9FB-3D68A884A0B3}" name="%" dataDxfId="78"/>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596C7B8-FEDD-804F-8607-8EB1608A2F44}" name="Index_w_SN_Sleeve" displayName="Index_w_SN_Sleeve" ref="E5:F9" totalsRowShown="0" headerRowDxfId="77" dataDxfId="76">
  <autoFilter ref="E5:F9" xr:uid="{0596C7B8-FEDD-804F-8607-8EB1608A2F44}"/>
  <tableColumns count="2">
    <tableColumn id="1" xr3:uid="{67CA33C8-4C28-9D49-A3BA-05E338BE1AA5}" name="Positions" dataDxfId="75"/>
    <tableColumn id="2" xr3:uid="{1B5B5D00-5318-5E40-8090-D72A63AFECA5}" name="%" dataDxfId="74"/>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A73F568-E7D5-8141-B8FF-1C21EE97E620}" name="Growth_Sleeve" displayName="Growth_Sleeve" ref="H5:I8" totalsRowShown="0" headerRowDxfId="73" dataDxfId="72">
  <autoFilter ref="H5:I8" xr:uid="{4A73F568-E7D5-8141-B8FF-1C21EE97E620}"/>
  <tableColumns count="2">
    <tableColumn id="1" xr3:uid="{1F72C5DE-15F1-754B-86EB-1F651DCC50F1}" name="Positions" dataDxfId="71"/>
    <tableColumn id="2" xr3:uid="{1F7785B5-E10B-A84A-9EAA-7BD227325AB3}" name="%" dataDxfId="7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3839E68-0272-2847-8C8B-471BCA347E17}" name="AR_Conservative_Sleeve" displayName="AR_Conservative_Sleeve" ref="B13:C17" totalsRowShown="0" headerRowDxfId="69" dataDxfId="68">
  <autoFilter ref="B13:C17" xr:uid="{C3839E68-0272-2847-8C8B-471BCA347E17}"/>
  <tableColumns count="2">
    <tableColumn id="1" xr3:uid="{789C47C5-C28B-CD49-80E8-BE15D128464C}" name="Positions" dataDxfId="67"/>
    <tableColumn id="2" xr3:uid="{2D33ED69-8FA1-034B-9363-443F88F345B1}" name="%" dataDxfId="66"/>
  </tableColumns>
  <tableStyleInfo name="TableStyleMedium7"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CD223B-C175-1647-A4FA-5BF1BF4A3A6E}" name="AR_Moderate_Sleeve" displayName="AR_Moderate_Sleeve" ref="E13:F15" totalsRowShown="0" headerRowDxfId="65" dataDxfId="64">
  <autoFilter ref="E13:F15" xr:uid="{CECD223B-C175-1647-A4FA-5BF1BF4A3A6E}"/>
  <tableColumns count="2">
    <tableColumn id="1" xr3:uid="{2CAC51D2-7A77-CD4C-80A0-A412D4E7590F}" name="Positions" dataDxfId="63"/>
    <tableColumn id="2" xr3:uid="{C8C69339-C88E-294F-97E4-DB8D84C968D9}" name="%" dataDxfId="62"/>
  </tableColumns>
  <tableStyleInfo name="TableStyleMedium7"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5868581-15DF-5843-869D-F69313FF8800}" name="AR_Moderate_Aggressive_Sleeve" displayName="AR_Moderate_Aggressive_Sleeve" ref="H13:I15" totalsRowShown="0" headerRowDxfId="61" dataDxfId="60">
  <autoFilter ref="H13:I15" xr:uid="{15868581-15DF-5843-869D-F69313FF8800}"/>
  <tableColumns count="2">
    <tableColumn id="1" xr3:uid="{B9F1CC86-41C4-9649-87AC-68B218A2899D}" name="Positions" dataDxfId="59"/>
    <tableColumn id="2" xr3:uid="{B6FDE50C-15AF-F04C-B36A-C83CB775F6E8}" name="%" dataDxfId="58"/>
  </tableColumns>
  <tableStyleInfo name="TableStyleMedium7"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940EBA-6A21-8340-8364-D15CD2BD7924}" name="Fixed_Income_Conservative_Sleeve" displayName="Fixed_Income_Conservative_Sleeve" ref="B20:C24" totalsRowShown="0" headerRowDxfId="57" dataDxfId="56">
  <autoFilter ref="B20:C24" xr:uid="{97940EBA-6A21-8340-8364-D15CD2BD7924}"/>
  <tableColumns count="2">
    <tableColumn id="1" xr3:uid="{F8064897-7A3A-DC4D-9882-EABFB2D62530}" name="Positions" dataDxfId="55"/>
    <tableColumn id="2" xr3:uid="{11696650-40F9-6D43-A427-62AA64F0B1FE}" name="%" dataDxfId="54"/>
  </tableColumns>
  <tableStyleInfo name="TableStyleMedium4"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FE2CC4B-D902-7943-A8F0-89819261081F}" name="Interval_Funds_List" displayName="Interval_Funds_List" ref="E18:E24" totalsRowShown="0" headerRowDxfId="53" dataDxfId="52">
  <autoFilter ref="E18:E24" xr:uid="{7FE2CC4B-D902-7943-A8F0-89819261081F}"/>
  <tableColumns count="1">
    <tableColumn id="1" xr3:uid="{5F1002B0-0FAD-6745-81EA-885CAF0B7EF4}" name="Positions" dataDxfId="51"/>
  </tableColumns>
  <tableStyleInfo name="TableStyleMedium5"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1785D7E-3E46-6D41-8F73-D990CCFFBE92}" name="Equity_Income_Less_Than_1M_Sleeve" displayName="Equity_Income_Less_Than_1M_Sleeve" ref="B27:C31" totalsRowShown="0" headerRowDxfId="50" dataDxfId="49">
  <autoFilter ref="B27:C31" xr:uid="{31785D7E-3E46-6D41-8F73-D990CCFFBE92}"/>
  <tableColumns count="2">
    <tableColumn id="1" xr3:uid="{0F4110D7-2B07-2043-B1A9-CC1424B30CD9}" name="Positions" dataDxfId="48"/>
    <tableColumn id="2" xr3:uid="{5A9CA6DA-77C6-4345-A0AC-9A3BA8CD2B8F}" name="%" dataDxfId="47"/>
  </tableColumns>
  <tableStyleInfo name="TableStyleMedium6"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5EFD44C-441A-2C43-886F-9AEBF5D5A994}" name="Equity_Income_Greater_Than_1M_Sleeve" displayName="Equity_Income_Greater_Than_1M_Sleeve" ref="E27:F33" totalsRowShown="0" headerRowDxfId="46" dataDxfId="45">
  <autoFilter ref="E27:F33" xr:uid="{35EFD44C-441A-2C43-886F-9AEBF5D5A994}"/>
  <tableColumns count="2">
    <tableColumn id="1" xr3:uid="{37BCA18D-E642-8147-9501-1E418EB1C161}" name="Positions" dataDxfId="44"/>
    <tableColumn id="2" xr3:uid="{4FE50CD9-F8E7-8540-9F09-C12545BD85E5}" name="%" dataDxfId="43"/>
  </tableColumns>
  <tableStyleInfo name="TableStyleMedium6"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23698E4-6C22-9647-853C-71D0506C939F}" name="Real_Estate_Sleeve" displayName="Real_Estate_Sleeve" ref="B34:C35" totalsRowShown="0" headerRowDxfId="42" dataDxfId="41">
  <autoFilter ref="B34:C35" xr:uid="{423698E4-6C22-9647-853C-71D0506C939F}"/>
  <tableColumns count="2">
    <tableColumn id="1" xr3:uid="{45EC50DE-2298-FA40-B3CC-0B1ACE0E109D}" name="Positions" dataDxfId="40"/>
    <tableColumn id="2" xr3:uid="{5C8312C0-34FB-CA42-9EA1-97B7FC45568F}" name="%" dataDxfId="39"/>
  </tableColumns>
  <tableStyleInfo name="TableStyleMedium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0527221-02F6-FD4D-8CF6-FB9D940E2D5D}" name="Opportunistic_Sleeve" displayName="Opportunistic_Sleeve" ref="E36:F45" totalsRowShown="0" headerRowDxfId="38" dataDxfId="37">
  <autoFilter ref="E36:F45" xr:uid="{90527221-02F6-FD4D-8CF6-FB9D940E2D5D}"/>
  <tableColumns count="2">
    <tableColumn id="1" xr3:uid="{1FC5BD2D-85B2-D04F-AB1D-38B3D6FF594E}" name="Positions" dataDxfId="36"/>
    <tableColumn id="2" xr3:uid="{282326A8-DD9B-4344-9DC7-2F5EDEE3F486}" name="%" dataDxfId="35"/>
  </tableColumns>
  <tableStyleInfo name="TableStyleMedium4"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6033B86A-442F-7C4D-8F3F-A57550249845}" name="Cash_Sleeve" displayName="Cash_Sleeve" ref="B38:C40" totalsRowShown="0" headerRowDxfId="34" dataDxfId="32" headerRowBorderDxfId="33" tableBorderDxfId="31">
  <autoFilter ref="B38:C40" xr:uid="{6033B86A-442F-7C4D-8F3F-A57550249845}"/>
  <tableColumns count="2">
    <tableColumn id="1" xr3:uid="{FA27174E-ADC7-344B-B11B-13589A48F0E5}" name="Positions" dataDxfId="30"/>
    <tableColumn id="2" xr3:uid="{7DA7D3FB-8DAF-304F-9AA2-233497D364FF}" name="%" dataDxfId="29"/>
  </tableColumns>
  <tableStyleInfo name="TableStyleMedium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1109A8E6-C23B-1645-9A46-DD49F529BB32}" name="Alternative_Investments_List" displayName="Alternative_Investments_List" ref="H18:H29" totalsRowShown="0" headerRowDxfId="28" dataDxfId="27">
  <autoFilter ref="H18:H29" xr:uid="{1109A8E6-C23B-1645-9A46-DD49F529BB32}"/>
  <tableColumns count="1">
    <tableColumn id="1" xr3:uid="{BCC2B856-3CD8-EB45-838C-BEED4942D763}" name="Positions" dataDxfId="26"/>
  </tableColumns>
  <tableStyleInfo name="TableStyleMedium5"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C10DE8E-1F81-1047-AAF4-338FC459EF76}" name="Table1" displayName="Table1" ref="A6:B1000" totalsRowShown="0" headerRowDxfId="25" dataDxfId="24">
  <autoFilter ref="A6:B1000" xr:uid="{EC10DE8E-1F81-1047-AAF4-338FC459EF76}"/>
  <sortState xmlns:xlrd2="http://schemas.microsoft.com/office/spreadsheetml/2017/richdata2" ref="A7:B77">
    <sortCondition ref="A6:A77"/>
  </sortState>
  <tableColumns count="2">
    <tableColumn id="1" xr3:uid="{EE59295C-8713-E24D-97C9-D4FD65BE0058}" name="Plain View Name" dataDxfId="23"/>
    <tableColumn id="2" xr3:uid="{6D518339-612F-894C-BAA8-AF7089159317}" name="ACT &amp; D Name" dataDxfId="22"/>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105" dT="2024-04-19T16:41:33.11" personId="{B0D03C4F-52BA-B847-A5BE-5ADA53F51944}" id="{EE5DCB02-6F1E-2E48-965F-0428D834F7ED}">
    <text>Should we keep this sleeve?</text>
  </threadedComment>
  <threadedComment ref="B133" dT="2023-12-15T21:11:05.61" personId="{B0D03C4F-52BA-B847-A5BE-5ADA53F51944}" id="{8067DED1-2F56-7841-9E39-87DAB5F94004}">
    <text>Opportunistic sleeve may need to be more manually enterred or edit-friendly</text>
  </threadedComment>
  <threadedComment ref="B139" dT="2023-12-11T22:49:23.13" personId="{94BA1B13-9834-6C43-A9CC-D670D34F94F6}" id="{C1159901-2867-054E-850E-C2254A7D4D2A}">
    <text>How do I represent REITS, BDC, and Misc. on the Investment Proposal sheet?</text>
  </threadedComment>
  <threadedComment ref="B139" dT="2023-12-11T22:50:12.36" personId="{94BA1B13-9834-6C43-A9CC-D670D34F94F6}" id="{141DF373-938D-494E-AE79-F7E5F0F24723}" parentId="{C1159901-2867-054E-850E-C2254A7D4D2A}">
    <text>Idea is that if there’s no simple way to represent it, we can create a section below this one to input final remaining dollars into any asset listed in the asset class tables.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3" Type="http://schemas.openxmlformats.org/officeDocument/2006/relationships/table" Target="../tables/table2.xml"/><Relationship Id="rId18" Type="http://schemas.openxmlformats.org/officeDocument/2006/relationships/table" Target="../tables/table7.xml"/><Relationship Id="rId26" Type="http://schemas.openxmlformats.org/officeDocument/2006/relationships/table" Target="../tables/table15.xml"/><Relationship Id="rId21" Type="http://schemas.openxmlformats.org/officeDocument/2006/relationships/table" Target="../tables/table10.xml"/><Relationship Id="rId34" Type="http://schemas.openxmlformats.org/officeDocument/2006/relationships/table" Target="../tables/table23.xml"/><Relationship Id="rId7" Type="http://schemas.openxmlformats.org/officeDocument/2006/relationships/ctrlProp" Target="../ctrlProps/ctrlProp7.xml"/><Relationship Id="rId12" Type="http://schemas.openxmlformats.org/officeDocument/2006/relationships/table" Target="../tables/table1.xml"/><Relationship Id="rId17" Type="http://schemas.openxmlformats.org/officeDocument/2006/relationships/table" Target="../tables/table6.xml"/><Relationship Id="rId25" Type="http://schemas.openxmlformats.org/officeDocument/2006/relationships/table" Target="../tables/table14.xml"/><Relationship Id="rId33" Type="http://schemas.openxmlformats.org/officeDocument/2006/relationships/table" Target="../tables/table22.xml"/><Relationship Id="rId38" Type="http://schemas.microsoft.com/office/2017/10/relationships/threadedComment" Target="../threadedComments/threadedComment1.xml"/><Relationship Id="rId2" Type="http://schemas.openxmlformats.org/officeDocument/2006/relationships/vmlDrawing" Target="../drawings/vmlDrawing3.vml"/><Relationship Id="rId16" Type="http://schemas.openxmlformats.org/officeDocument/2006/relationships/table" Target="../tables/table5.xml"/><Relationship Id="rId20" Type="http://schemas.openxmlformats.org/officeDocument/2006/relationships/table" Target="../tables/table9.xml"/><Relationship Id="rId29" Type="http://schemas.openxmlformats.org/officeDocument/2006/relationships/table" Target="../tables/table18.xml"/><Relationship Id="rId1" Type="http://schemas.openxmlformats.org/officeDocument/2006/relationships/drawing" Target="../drawings/drawing2.xml"/><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table" Target="../tables/table13.xml"/><Relationship Id="rId32" Type="http://schemas.openxmlformats.org/officeDocument/2006/relationships/table" Target="../tables/table21.xml"/><Relationship Id="rId37" Type="http://schemas.openxmlformats.org/officeDocument/2006/relationships/comments" Target="../comments1.xml"/><Relationship Id="rId5" Type="http://schemas.openxmlformats.org/officeDocument/2006/relationships/ctrlProp" Target="../ctrlProps/ctrlProp5.xml"/><Relationship Id="rId15" Type="http://schemas.openxmlformats.org/officeDocument/2006/relationships/table" Target="../tables/table4.xml"/><Relationship Id="rId23" Type="http://schemas.openxmlformats.org/officeDocument/2006/relationships/table" Target="../tables/table12.xml"/><Relationship Id="rId28" Type="http://schemas.openxmlformats.org/officeDocument/2006/relationships/table" Target="../tables/table17.xml"/><Relationship Id="rId36" Type="http://schemas.openxmlformats.org/officeDocument/2006/relationships/table" Target="../tables/table25.xml"/><Relationship Id="rId10" Type="http://schemas.openxmlformats.org/officeDocument/2006/relationships/ctrlProp" Target="../ctrlProps/ctrlProp10.xml"/><Relationship Id="rId19" Type="http://schemas.openxmlformats.org/officeDocument/2006/relationships/table" Target="../tables/table8.xml"/><Relationship Id="rId31" Type="http://schemas.openxmlformats.org/officeDocument/2006/relationships/table" Target="../tables/table2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table" Target="../tables/table3.xml"/><Relationship Id="rId22" Type="http://schemas.openxmlformats.org/officeDocument/2006/relationships/table" Target="../tables/table11.xml"/><Relationship Id="rId27" Type="http://schemas.openxmlformats.org/officeDocument/2006/relationships/table" Target="../tables/table16.xml"/><Relationship Id="rId30" Type="http://schemas.openxmlformats.org/officeDocument/2006/relationships/table" Target="../tables/table19.xml"/><Relationship Id="rId35" Type="http://schemas.openxmlformats.org/officeDocument/2006/relationships/table" Target="../tables/table24.xml"/><Relationship Id="rId8" Type="http://schemas.openxmlformats.org/officeDocument/2006/relationships/ctrlProp" Target="../ctrlProps/ctrlProp8.xml"/><Relationship Id="rId3"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8" Type="http://schemas.openxmlformats.org/officeDocument/2006/relationships/table" Target="../tables/table30.xml"/><Relationship Id="rId3" Type="http://schemas.openxmlformats.org/officeDocument/2006/relationships/ctrlProp" Target="../ctrlProps/ctrlProp15.xml"/><Relationship Id="rId7" Type="http://schemas.openxmlformats.org/officeDocument/2006/relationships/table" Target="../tables/table29.xml"/><Relationship Id="rId2" Type="http://schemas.openxmlformats.org/officeDocument/2006/relationships/vmlDrawing" Target="../drawings/vmlDrawing6.vml"/><Relationship Id="rId1" Type="http://schemas.openxmlformats.org/officeDocument/2006/relationships/drawing" Target="../drawings/drawing4.xml"/><Relationship Id="rId6" Type="http://schemas.openxmlformats.org/officeDocument/2006/relationships/table" Target="../tables/table28.xml"/><Relationship Id="rId5" Type="http://schemas.openxmlformats.org/officeDocument/2006/relationships/table" Target="../tables/table27.xml"/><Relationship Id="rId4" Type="http://schemas.openxmlformats.org/officeDocument/2006/relationships/table" Target="../tables/table26.xml"/><Relationship Id="rId9" Type="http://schemas.openxmlformats.org/officeDocument/2006/relationships/table" Target="../tables/table31.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4.xml"/><Relationship Id="rId2" Type="http://schemas.openxmlformats.org/officeDocument/2006/relationships/table" Target="../tables/table33.xml"/><Relationship Id="rId1" Type="http://schemas.openxmlformats.org/officeDocument/2006/relationships/table" Target="../tables/table32.xml"/><Relationship Id="rId6" Type="http://schemas.openxmlformats.org/officeDocument/2006/relationships/table" Target="../tables/table37.xml"/><Relationship Id="rId5" Type="http://schemas.openxmlformats.org/officeDocument/2006/relationships/table" Target="../tables/table36.xml"/><Relationship Id="rId4" Type="http://schemas.openxmlformats.org/officeDocument/2006/relationships/table" Target="../tables/table35.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44.xml"/><Relationship Id="rId13" Type="http://schemas.openxmlformats.org/officeDocument/2006/relationships/table" Target="../tables/table49.xml"/><Relationship Id="rId3" Type="http://schemas.openxmlformats.org/officeDocument/2006/relationships/table" Target="../tables/table39.xml"/><Relationship Id="rId7" Type="http://schemas.openxmlformats.org/officeDocument/2006/relationships/table" Target="../tables/table43.xml"/><Relationship Id="rId12" Type="http://schemas.openxmlformats.org/officeDocument/2006/relationships/table" Target="../tables/table48.xml"/><Relationship Id="rId2" Type="http://schemas.openxmlformats.org/officeDocument/2006/relationships/table" Target="../tables/table38.xml"/><Relationship Id="rId16" Type="http://schemas.openxmlformats.org/officeDocument/2006/relationships/comments" Target="../comments2.xml"/><Relationship Id="rId1" Type="http://schemas.openxmlformats.org/officeDocument/2006/relationships/vmlDrawing" Target="../drawings/vmlDrawing7.vml"/><Relationship Id="rId6" Type="http://schemas.openxmlformats.org/officeDocument/2006/relationships/table" Target="../tables/table42.xml"/><Relationship Id="rId11" Type="http://schemas.openxmlformats.org/officeDocument/2006/relationships/table" Target="../tables/table47.xml"/><Relationship Id="rId5" Type="http://schemas.openxmlformats.org/officeDocument/2006/relationships/table" Target="../tables/table41.xml"/><Relationship Id="rId15" Type="http://schemas.openxmlformats.org/officeDocument/2006/relationships/table" Target="../tables/table51.xml"/><Relationship Id="rId10" Type="http://schemas.openxmlformats.org/officeDocument/2006/relationships/table" Target="../tables/table46.xml"/><Relationship Id="rId4" Type="http://schemas.openxmlformats.org/officeDocument/2006/relationships/table" Target="../tables/table40.xml"/><Relationship Id="rId9" Type="http://schemas.openxmlformats.org/officeDocument/2006/relationships/table" Target="../tables/table45.xml"/><Relationship Id="rId14" Type="http://schemas.openxmlformats.org/officeDocument/2006/relationships/table" Target="../tables/table5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5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9.vml"/><Relationship Id="rId1" Type="http://schemas.openxmlformats.org/officeDocument/2006/relationships/drawing" Target="../drawings/drawing5.xml"/><Relationship Id="rId4" Type="http://schemas.openxmlformats.org/officeDocument/2006/relationships/ctrlProp" Target="../ctrlProps/ctrlProp17.xml"/></Relationships>
</file>

<file path=xl/worksheets/_rels/sheet15.xml.rels><?xml version="1.0" encoding="UTF-8" standalone="yes"?>
<Relationships xmlns="http://schemas.openxmlformats.org/package/2006/relationships"><Relationship Id="rId26" Type="http://schemas.openxmlformats.org/officeDocument/2006/relationships/hyperlink" Target="https://pomonainvestmentfund.com/page/current-performance" TargetMode="External"/><Relationship Id="rId21" Type="http://schemas.openxmlformats.org/officeDocument/2006/relationships/hyperlink" Target="https://www.starwoodnav.reit/performance/" TargetMode="External"/><Relationship Id="rId42" Type="http://schemas.openxmlformats.org/officeDocument/2006/relationships/hyperlink" Target="https://www.morningstar.com/funds/xnas/hlgex/performance" TargetMode="External"/><Relationship Id="rId47" Type="http://schemas.openxmlformats.org/officeDocument/2006/relationships/hyperlink" Target="https://bluerock.com/bluerock-total-income-plus-real-estate-fund/fund-performance/" TargetMode="External"/><Relationship Id="rId63" Type="http://schemas.openxmlformats.org/officeDocument/2006/relationships/hyperlink" Target="https://finance.yahoo.com/quote/ZBCIIX/performance/" TargetMode="External"/><Relationship Id="rId68" Type="http://schemas.openxmlformats.org/officeDocument/2006/relationships/hyperlink" Target="https://seekingalpha.com/symbol/SDFIX/dividends/scorecard" TargetMode="External"/><Relationship Id="rId16" Type="http://schemas.openxmlformats.org/officeDocument/2006/relationships/hyperlink" Target="https://www.morningstar.com/stocks/xnys/ccl/trailing-returns" TargetMode="External"/><Relationship Id="rId11" Type="http://schemas.openxmlformats.org/officeDocument/2006/relationships/hyperlink" Target="https://silarealtytrust.com/" TargetMode="External"/><Relationship Id="rId32" Type="http://schemas.openxmlformats.org/officeDocument/2006/relationships/hyperlink" Target="https://www.morningstar.com/etfs/arcx/arkf/performance" TargetMode="External"/><Relationship Id="rId37" Type="http://schemas.openxmlformats.org/officeDocument/2006/relationships/hyperlink" Target="https://user.ncreif.org/data-products/property/" TargetMode="External"/><Relationship Id="rId53" Type="http://schemas.openxmlformats.org/officeDocument/2006/relationships/hyperlink" Target="https://www.morningstar.com/funds/xnas/jsvix/performance" TargetMode="External"/><Relationship Id="rId58" Type="http://schemas.openxmlformats.org/officeDocument/2006/relationships/hyperlink" Target="https://www.morningstar.com/funds/xnas/jepix/performance" TargetMode="External"/><Relationship Id="rId74" Type="http://schemas.openxmlformats.org/officeDocument/2006/relationships/hyperlink" Target="https://seekingalpha.com/symbol/MLPZX/dividends/scorecard?s=mlpzx" TargetMode="External"/><Relationship Id="rId79" Type="http://schemas.openxmlformats.org/officeDocument/2006/relationships/hyperlink" Target="https://www.cliffwaterfunds.com/cclfx" TargetMode="External"/><Relationship Id="rId5" Type="http://schemas.openxmlformats.org/officeDocument/2006/relationships/hyperlink" Target="https://www.morningstar.com/etfs/xnas/acwi/performance" TargetMode="External"/><Relationship Id="rId61" Type="http://schemas.openxmlformats.org/officeDocument/2006/relationships/hyperlink" Target="https://seekingalpha.com/symbol/JSVIX/dividends/no_dividends_history" TargetMode="External"/><Relationship Id="rId82" Type="http://schemas.openxmlformats.org/officeDocument/2006/relationships/hyperlink" Target="https://www.morningstar.com/etfs/xnas/rdvy/performance" TargetMode="External"/><Relationship Id="rId19" Type="http://schemas.openxmlformats.org/officeDocument/2006/relationships/hyperlink" Target="https://www.morningstar.com/stocks/xnas/gbdc/trailing-returns" TargetMode="External"/><Relationship Id="rId14" Type="http://schemas.openxmlformats.org/officeDocument/2006/relationships/hyperlink" Target="https://www.hinessecurities.com/current-offerings/hgit/" TargetMode="External"/><Relationship Id="rId22" Type="http://schemas.openxmlformats.org/officeDocument/2006/relationships/hyperlink" Target="https://markets.businessinsider.com/commodities/oil-price?type=wti" TargetMode="External"/><Relationship Id="rId27" Type="http://schemas.openxmlformats.org/officeDocument/2006/relationships/hyperlink" Target="https://www.morningstar.com/etfs/arcx/iwm/performance" TargetMode="External"/><Relationship Id="rId30" Type="http://schemas.openxmlformats.org/officeDocument/2006/relationships/hyperlink" Target="https://www.morningstar.com/stocks/xnys/tslx/trailing-returns" TargetMode="External"/><Relationship Id="rId35" Type="http://schemas.openxmlformats.org/officeDocument/2006/relationships/hyperlink" Target="https://www.morningstar.com/stocks/xnas/zs/trailing-returns" TargetMode="External"/><Relationship Id="rId43" Type="http://schemas.openxmlformats.org/officeDocument/2006/relationships/hyperlink" Target="https://www.morningstar.com/funds/xnas/ubvsx/performance" TargetMode="External"/><Relationship Id="rId48" Type="http://schemas.openxmlformats.org/officeDocument/2006/relationships/hyperlink" Target="https://apollodiversifiedrealestatefund.apollo.com/performance/" TargetMode="External"/><Relationship Id="rId56" Type="http://schemas.openxmlformats.org/officeDocument/2006/relationships/hyperlink" Target="https://www.lordabbett.com/en/strategies/interval-funds/credit-opportunities-fund.html" TargetMode="External"/><Relationship Id="rId64" Type="http://schemas.openxmlformats.org/officeDocument/2006/relationships/hyperlink" Target="https://bcindustrialiv.com/investment-strategy/performance/" TargetMode="External"/><Relationship Id="rId69" Type="http://schemas.openxmlformats.org/officeDocument/2006/relationships/hyperlink" Target="https://www.morningstar.com/funds/xnas/sdrix/performance" TargetMode="External"/><Relationship Id="rId77" Type="http://schemas.openxmlformats.org/officeDocument/2006/relationships/hyperlink" Target="https://www.cioninvestments.com/products/cion-ares-diversified-credit-fund/" TargetMode="External"/><Relationship Id="rId8" Type="http://schemas.openxmlformats.org/officeDocument/2006/relationships/hyperlink" Target="https://www.ishares.com/us/products/239600/?referrer=tickerSearch" TargetMode="External"/><Relationship Id="rId51" Type="http://schemas.openxmlformats.org/officeDocument/2006/relationships/hyperlink" Target="https://www.morningstar.com/funds/xnas/prpzx/performance" TargetMode="External"/><Relationship Id="rId72" Type="http://schemas.openxmlformats.org/officeDocument/2006/relationships/hyperlink" Target="https://seekingalpha.com/symbol/JARIX/overview?s=jarix" TargetMode="External"/><Relationship Id="rId80" Type="http://schemas.openxmlformats.org/officeDocument/2006/relationships/hyperlink" Target="https://www.nuveen.com/pcap/performance" TargetMode="External"/><Relationship Id="rId3" Type="http://schemas.openxmlformats.org/officeDocument/2006/relationships/hyperlink" Target="http://www.ftse.com/products/indices/nareit?_ga=2.244761414.25409972.1511797843-346677419.1511192767" TargetMode="External"/><Relationship Id="rId12" Type="http://schemas.openxmlformats.org/officeDocument/2006/relationships/hyperlink" Target="mailto:info@cnl.com" TargetMode="External"/><Relationship Id="rId17" Type="http://schemas.openxmlformats.org/officeDocument/2006/relationships/hyperlink" Target="https://www.morningstar.com/stocks/xnys/dal/trailing-returns" TargetMode="External"/><Relationship Id="rId25" Type="http://schemas.openxmlformats.org/officeDocument/2006/relationships/hyperlink" Target="https://www.nuveen.com/gcreit/performance" TargetMode="External"/><Relationship Id="rId33" Type="http://schemas.openxmlformats.org/officeDocument/2006/relationships/hyperlink" Target="https://www.morningstar.com/stocks/xnas/crwd/trailing-returns" TargetMode="External"/><Relationship Id="rId38" Type="http://schemas.openxmlformats.org/officeDocument/2006/relationships/hyperlink" Target="https://www.morningstar.com/funds/xnas/jheqx/performance" TargetMode="External"/><Relationship Id="rId46" Type="http://schemas.openxmlformats.org/officeDocument/2006/relationships/hyperlink" Target="https://www.morningstar.com/funds/xnas/nesix/performance" TargetMode="External"/><Relationship Id="rId59" Type="http://schemas.openxmlformats.org/officeDocument/2006/relationships/hyperlink" Target="https://www.morningstar.com/funds/xnas/sdaix/performance" TargetMode="External"/><Relationship Id="rId67" Type="http://schemas.openxmlformats.org/officeDocument/2006/relationships/hyperlink" Target="https://seekingalpha.com/symbol/SDRIX/dividends/scorecard?s=sdrix" TargetMode="External"/><Relationship Id="rId20" Type="http://schemas.openxmlformats.org/officeDocument/2006/relationships/hyperlink" Target="https://www.morningstar.com/stocks/xnys/main/trailing-returns" TargetMode="External"/><Relationship Id="rId41" Type="http://schemas.openxmlformats.org/officeDocument/2006/relationships/hyperlink" Target="http://www.schwab.wallst.com/Prospect/Research/MutualFunds/Summary.asp?symbol=TIPWX" TargetMode="External"/><Relationship Id="rId54" Type="http://schemas.openxmlformats.org/officeDocument/2006/relationships/hyperlink" Target="https://www.morningstar.com/funds/xnas/mlpzx/performance" TargetMode="External"/><Relationship Id="rId62" Type="http://schemas.openxmlformats.org/officeDocument/2006/relationships/hyperlink" Target="http://jamesalphaadvisors.com/mutual-funds/james-alpha-structured-credit-value-fund/structured-credit-value-fund-literature/" TargetMode="External"/><Relationship Id="rId70" Type="http://schemas.openxmlformats.org/officeDocument/2006/relationships/hyperlink" Target="https://www.morningstar.com/funds/xnas/phyzx/performance" TargetMode="External"/><Relationship Id="rId75" Type="http://schemas.openxmlformats.org/officeDocument/2006/relationships/hyperlink" Target="https://seekingalpha.com/symbol/MLPOX/dividends/scorecard?s=mlpox" TargetMode="External"/><Relationship Id="rId83" Type="http://schemas.openxmlformats.org/officeDocument/2006/relationships/printerSettings" Target="../printerSettings/printerSettings5.bin"/><Relationship Id="rId1" Type="http://schemas.openxmlformats.org/officeDocument/2006/relationships/hyperlink" Target="https://www.morningstar.com/indexes/spi/spx/performance" TargetMode="External"/><Relationship Id="rId6" Type="http://schemas.openxmlformats.org/officeDocument/2006/relationships/hyperlink" Target="https://www.morningstar.com/etfs/xams/euea/performance" TargetMode="External"/><Relationship Id="rId15" Type="http://schemas.openxmlformats.org/officeDocument/2006/relationships/hyperlink" Target="https://owlrockbdcs.com/" TargetMode="External"/><Relationship Id="rId23" Type="http://schemas.openxmlformats.org/officeDocument/2006/relationships/hyperlink" Target="https://www.mscincomefund.com/portfolio" TargetMode="External"/><Relationship Id="rId28" Type="http://schemas.openxmlformats.org/officeDocument/2006/relationships/hyperlink" Target="https://www.morningstar.com/stocks/xnas/mfic/trailing-returns" TargetMode="External"/><Relationship Id="rId36" Type="http://schemas.openxmlformats.org/officeDocument/2006/relationships/hyperlink" Target="https://www.morningstar.com/stocks/xnys/obdc/trailing-returns" TargetMode="External"/><Relationship Id="rId49" Type="http://schemas.openxmlformats.org/officeDocument/2006/relationships/hyperlink" Target="https://www.morningstar.com/funds/xnas/mlpox/performance" TargetMode="External"/><Relationship Id="rId57" Type="http://schemas.openxmlformats.org/officeDocument/2006/relationships/hyperlink" Target="https://www.morningstar.com/funds/xnas/pdezx/performance" TargetMode="External"/><Relationship Id="rId10" Type="http://schemas.openxmlformats.org/officeDocument/2006/relationships/hyperlink" Target="https://www.morningstar.com/stocks/xnys/fsk/trailing-returns" TargetMode="External"/><Relationship Id="rId31" Type="http://schemas.openxmlformats.org/officeDocument/2006/relationships/hyperlink" Target="https://www.morningstar.com/stocks/xnas/amd/trailing-returns" TargetMode="External"/><Relationship Id="rId44" Type="http://schemas.openxmlformats.org/officeDocument/2006/relationships/hyperlink" Target="https://www.morningstar.com/funds/xnas/jvmix/performance" TargetMode="External"/><Relationship Id="rId52" Type="http://schemas.openxmlformats.org/officeDocument/2006/relationships/hyperlink" Target="https://www.morningstar.com/funds/xnas/prjzx/performance" TargetMode="External"/><Relationship Id="rId60" Type="http://schemas.openxmlformats.org/officeDocument/2006/relationships/hyperlink" Target="https://www.morningstar.com/funds/xnas/cihex/performance" TargetMode="External"/><Relationship Id="rId65" Type="http://schemas.openxmlformats.org/officeDocument/2006/relationships/hyperlink" Target="https://www.breit.com/performance" TargetMode="External"/><Relationship Id="rId73" Type="http://schemas.openxmlformats.org/officeDocument/2006/relationships/hyperlink" Target="https://www.morningstar.com/funds/xnas/jarix/performance" TargetMode="External"/><Relationship Id="rId78" Type="http://schemas.openxmlformats.org/officeDocument/2006/relationships/hyperlink" Target="http://www.destracapital.com/strategies/bluebay-destra-international-event-driven-credit-fund" TargetMode="External"/><Relationship Id="rId81" Type="http://schemas.openxmlformats.org/officeDocument/2006/relationships/hyperlink" Target="https://www.morningstar.com/funds/xnas/ponpx/performance" TargetMode="External"/><Relationship Id="rId4" Type="http://schemas.openxmlformats.org/officeDocument/2006/relationships/hyperlink" Target="https://www.morningstar.com/etfs/arcx/eem/performance" TargetMode="External"/><Relationship Id="rId9" Type="http://schemas.openxmlformats.org/officeDocument/2006/relationships/hyperlink" Target="https://www.morningstar.com/stocks/xnas/arcc/trailing-returns" TargetMode="External"/><Relationship Id="rId13" Type="http://schemas.openxmlformats.org/officeDocument/2006/relationships/hyperlink" Target="https://www.fsinvestments.com/investments/funds/fsep" TargetMode="External"/><Relationship Id="rId18" Type="http://schemas.openxmlformats.org/officeDocument/2006/relationships/hyperlink" Target="https://www.morningstar.com/stocks/xnas/aal/trailing-returns" TargetMode="External"/><Relationship Id="rId39" Type="http://schemas.openxmlformats.org/officeDocument/2006/relationships/hyperlink" Target="https://www.morningstar.com/funds/xnas/jhqdx/performance" TargetMode="External"/><Relationship Id="rId34" Type="http://schemas.openxmlformats.org/officeDocument/2006/relationships/hyperlink" Target="https://www.morningstar.com/stocks/xnys/tsm/trailing-returns" TargetMode="External"/><Relationship Id="rId50" Type="http://schemas.openxmlformats.org/officeDocument/2006/relationships/hyperlink" Target="https://www.morningstar.com/funds/xnas/sdfix/performance" TargetMode="External"/><Relationship Id="rId55" Type="http://schemas.openxmlformats.org/officeDocument/2006/relationships/hyperlink" Target="https://www.morningstar.com/funds/xnas/hmezx/performance" TargetMode="External"/><Relationship Id="rId76" Type="http://schemas.openxmlformats.org/officeDocument/2006/relationships/hyperlink" Target="https://www.morningstar.com/funds/xnas/ogiyx/performance" TargetMode="External"/><Relationship Id="rId7" Type="http://schemas.openxmlformats.org/officeDocument/2006/relationships/hyperlink" Target="https://www.ishares.com/us/products/239623/ishares-msci-eafe-etf" TargetMode="External"/><Relationship Id="rId71" Type="http://schemas.openxmlformats.org/officeDocument/2006/relationships/hyperlink" Target="http://jamesalphaadvisors.com/mutual-funds/james-alpha-global-real-estate-investments-fund/fund-literature/" TargetMode="External"/><Relationship Id="rId2" Type="http://schemas.openxmlformats.org/officeDocument/2006/relationships/hyperlink" Target="https://www.morningstar.com/etfs/arcx/efa/performance" TargetMode="External"/><Relationship Id="rId29" Type="http://schemas.openxmlformats.org/officeDocument/2006/relationships/hyperlink" Target="https://www.rreefpropertytrust.com/Investor-Relations/Daily-NAV-and-Performance/" TargetMode="External"/><Relationship Id="rId24" Type="http://schemas.openxmlformats.org/officeDocument/2006/relationships/hyperlink" Target="https://markets.businessinsider.com/commodities/oil-price" TargetMode="External"/><Relationship Id="rId40" Type="http://schemas.openxmlformats.org/officeDocument/2006/relationships/hyperlink" Target="https://areswmsresources.com/investment-solutions/areit/performance/" TargetMode="External"/><Relationship Id="rId45" Type="http://schemas.openxmlformats.org/officeDocument/2006/relationships/hyperlink" Target="https://www.morningstar.com/funds/xnas/hyszx/performance" TargetMode="External"/><Relationship Id="rId66" Type="http://schemas.openxmlformats.org/officeDocument/2006/relationships/hyperlink" Target="https://www.morningstar.com/cefs/xnas/grifx/total-returns"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3D7B8F-1161-4001-B5F3-2B35B7A086A9}">
  <sheetPr codeName="Sheet1">
    <tabColor theme="1"/>
  </sheetPr>
  <dimension ref="A1:C29"/>
  <sheetViews>
    <sheetView workbookViewId="0">
      <selection activeCell="B15" sqref="B15"/>
    </sheetView>
  </sheetViews>
  <sheetFormatPr baseColWidth="10" defaultColWidth="9.33203125" defaultRowHeight="15"/>
  <cols>
    <col min="1" max="1" width="32.33203125" style="42" bestFit="1" customWidth="1"/>
    <col min="2" max="2" width="58.6640625" style="26" customWidth="1"/>
    <col min="3" max="3" width="23" style="26" customWidth="1"/>
    <col min="4" max="4" width="34.33203125" customWidth="1"/>
  </cols>
  <sheetData>
    <row r="1" spans="1:2">
      <c r="A1" s="25" t="s">
        <v>0</v>
      </c>
    </row>
    <row r="2" spans="1:2">
      <c r="A2" s="27" t="s">
        <v>1</v>
      </c>
      <c r="B2" s="28" t="s">
        <v>2</v>
      </c>
    </row>
    <row r="3" spans="1:2">
      <c r="A3" s="29" t="s">
        <v>3</v>
      </c>
      <c r="B3" s="30" t="s">
        <v>4</v>
      </c>
    </row>
    <row r="4" spans="1:2">
      <c r="A4" s="29" t="s">
        <v>5</v>
      </c>
      <c r="B4" s="31"/>
    </row>
    <row r="5" spans="1:2">
      <c r="A5" s="29" t="s">
        <v>6</v>
      </c>
      <c r="B5" s="30"/>
    </row>
    <row r="6" spans="1:2">
      <c r="A6" s="29" t="s">
        <v>7</v>
      </c>
      <c r="B6" s="88"/>
    </row>
    <row r="7" spans="1:2">
      <c r="A7" s="32" t="s">
        <v>5</v>
      </c>
      <c r="B7" s="33"/>
    </row>
    <row r="9" spans="1:2">
      <c r="A9" s="25" t="s">
        <v>8</v>
      </c>
    </row>
    <row r="10" spans="1:2">
      <c r="A10" s="27" t="s">
        <v>9</v>
      </c>
      <c r="B10" s="46"/>
    </row>
    <row r="11" spans="1:2">
      <c r="A11" s="29" t="s">
        <v>10</v>
      </c>
      <c r="B11" s="34"/>
    </row>
    <row r="12" spans="1:2">
      <c r="A12" s="29" t="s">
        <v>11</v>
      </c>
      <c r="B12" s="34"/>
    </row>
    <row r="13" spans="1:2">
      <c r="A13" s="29" t="s">
        <v>12</v>
      </c>
      <c r="B13" s="34"/>
    </row>
    <row r="14" spans="1:2">
      <c r="A14" s="29" t="s">
        <v>13</v>
      </c>
      <c r="B14" s="34"/>
    </row>
    <row r="15" spans="1:2">
      <c r="A15" s="32" t="s">
        <v>14</v>
      </c>
      <c r="B15" s="35"/>
    </row>
    <row r="17" spans="1:3">
      <c r="A17" s="25" t="s">
        <v>15</v>
      </c>
    </row>
    <row r="18" spans="1:3">
      <c r="A18" s="27" t="s">
        <v>16</v>
      </c>
      <c r="B18" s="36">
        <f>IF($B$10&lt;70,IF(OR(AND($B$11&gt;=100000,AND($B$12&gt;=150000,$B$12&lt;250000)),AND(AND($B$12&gt;=250000,$B$12&lt;500000),$B$11&lt;100000)),0.2,IF(OR(AND($B$11&gt;=100000,$B$12&gt;=250000,$B$12&lt;5000000),AND($B$12&gt;=500000,$B$12&lt;5000000)),0.3,IF($B$12&gt;=5000000,0.35,0))),IF(AND($B$10&gt;=70,$B$10&lt;80),IF(AND($B$12&gt;=500000,$B$12&lt;1000000),0.15,IF($B$12&gt;1000000,0.25,0)),IF(AND(AND($B$10&gt;=80,$B$10&lt;90),$B$12&gt;=3000000),0.15,0)))</f>
        <v>0</v>
      </c>
      <c r="C18" s="37">
        <f>(B12-B14-B13-B15)*B18</f>
        <v>0</v>
      </c>
    </row>
    <row r="19" spans="1:3">
      <c r="A19" s="29" t="s">
        <v>17</v>
      </c>
      <c r="B19" s="38">
        <f>IF($B$10&lt;70,IF(OR(AND($B$11&gt;=100000,AND($B$12&gt;=150000,$B$12&lt;250000)),AND(AND($B$12&gt;=250000,$B$12&lt;500000),$B$11&lt;100000)),0.15,IF(OR(AND($B$11&gt;=100000,$B$12&gt;=250000,$B$12&lt;5000000),AND($B$12&gt;=500000,$B$12&lt;5000000)),0.25,IF($B$12&gt;=5000000,0.3,0))),IF(AND($B$10&gt;=70,$B$10&lt;80),IF(AND($B$12&gt;=500000,$B$12&lt;1000000),0.1,IF($B$12&gt;1000000,0.2,0)),IF(AND(AND($B$10&gt;=80,$B$10&lt;90),$B$12&gt;=3000000),0.1,0)))</f>
        <v>0</v>
      </c>
      <c r="C19" s="39">
        <f>(B12-B14-B13-B15)*B19</f>
        <v>0</v>
      </c>
    </row>
    <row r="20" spans="1:3">
      <c r="A20" s="32" t="s">
        <v>18</v>
      </c>
      <c r="B20" s="40">
        <f>IF(B18&lt;=0.25,B18,0.25)</f>
        <v>0</v>
      </c>
      <c r="C20" s="41">
        <f>(B13-B15-B14-B16)*B20</f>
        <v>0</v>
      </c>
    </row>
    <row r="22" spans="1:3">
      <c r="A22" s="25" t="s">
        <v>19</v>
      </c>
    </row>
    <row r="23" spans="1:3">
      <c r="A23" s="27" t="s">
        <v>20</v>
      </c>
      <c r="B23" s="37">
        <f>(B12*B18)-B14-B15</f>
        <v>0</v>
      </c>
    </row>
    <row r="24" spans="1:3">
      <c r="A24" s="29" t="s">
        <v>21</v>
      </c>
      <c r="B24" s="39">
        <f>IF(B15&gt;0.05*B12,(((B12*B19)-B14)-(B15-B12*0.05)),(B12*B19-B14))</f>
        <v>0</v>
      </c>
    </row>
    <row r="25" spans="1:3">
      <c r="A25" s="32" t="s">
        <v>22</v>
      </c>
      <c r="B25" s="41">
        <f>B13*B20</f>
        <v>0</v>
      </c>
    </row>
    <row r="27" spans="1:3">
      <c r="A27" s="25" t="s">
        <v>23</v>
      </c>
      <c r="B27" s="74" t="s">
        <v>24</v>
      </c>
    </row>
    <row r="28" spans="1:3">
      <c r="A28" s="25"/>
    </row>
    <row r="29" spans="1:3">
      <c r="A29" s="25" t="s">
        <v>25</v>
      </c>
      <c r="B29" s="75">
        <f ca="1">TODAY()</f>
        <v>45402</v>
      </c>
    </row>
  </sheetData>
  <protectedRanges>
    <protectedRange sqref="B2:B7 B10:B15 B27:B28" name="Inputs"/>
  </protectedRanges>
  <pageMargins left="0.7" right="0.7" top="0.75" bottom="0.75" header="0.3" footer="0.3"/>
  <pageSetup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r:uid="{90E1435F-3372-47DE-9A52-8CDAEA69AA46}">
          <x14:formula1>
            <xm:f>'Asset Class Tables and Dropdown'!$H$21:$H$24</xm:f>
          </x14:formula1>
          <xm:sqref>B27</xm:sqref>
        </x14:dataValidation>
        <x14:dataValidation type="list" allowBlank="1" showInputMessage="1" showErrorMessage="1" xr:uid="{8CFC132C-ECE6-48DC-9F2D-7F5C85C2E75A}">
          <x14:formula1>
            <xm:f>'Inv. Proposal Calculations'!$E$5:$E$13</xm:f>
          </x14:formula1>
          <xm:sqref>B28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5AD74-1DAF-4363-9F9B-36DD51638764}">
  <sheetPr codeName="Sheet3" filterMode="1">
    <pageSetUpPr fitToPage="1"/>
  </sheetPr>
  <dimension ref="A3:T102"/>
  <sheetViews>
    <sheetView view="pageBreakPreview" topLeftCell="A58" zoomScale="90" zoomScaleNormal="100" zoomScaleSheetLayoutView="90" workbookViewId="0">
      <selection activeCell="A10" sqref="A10:G10"/>
    </sheetView>
  </sheetViews>
  <sheetFormatPr baseColWidth="10" defaultColWidth="9.33203125" defaultRowHeight="16"/>
  <cols>
    <col min="1" max="1" width="53.33203125" style="2" customWidth="1"/>
    <col min="2" max="2" width="15.33203125" style="2" customWidth="1"/>
    <col min="3" max="3" width="19.6640625" style="2" bestFit="1" customWidth="1"/>
    <col min="4" max="4" width="15.33203125" style="2" customWidth="1"/>
    <col min="5" max="5" width="3.33203125" style="2" customWidth="1"/>
    <col min="6" max="6" width="11.33203125" style="15" customWidth="1"/>
    <col min="7" max="7" width="24.6640625" style="12" bestFit="1" customWidth="1"/>
    <col min="8" max="8" width="2.33203125" style="2" hidden="1" customWidth="1"/>
    <col min="9" max="9" width="9.33203125" style="2"/>
    <col min="10" max="10" width="47.33203125" style="2" bestFit="1" customWidth="1"/>
    <col min="11" max="11" width="9.33203125" style="2"/>
    <col min="12" max="20" width="14.33203125" style="2" customWidth="1"/>
    <col min="21" max="16384" width="9.33203125" style="2"/>
  </cols>
  <sheetData>
    <row r="3" spans="1:20">
      <c r="F3" s="173"/>
    </row>
    <row r="4" spans="1:20">
      <c r="L4" s="2" t="s">
        <v>26</v>
      </c>
    </row>
    <row r="6" spans="1:20">
      <c r="G6" s="174"/>
    </row>
    <row r="7" spans="1:20">
      <c r="G7" s="175"/>
    </row>
    <row r="8" spans="1:20">
      <c r="J8" s="7" t="str">
        <f>CONCATENATE(Inputs!B6," Investment Implementation")</f>
        <v xml:space="preserve"> Investment Implementation</v>
      </c>
    </row>
    <row r="9" spans="1:20" ht="23">
      <c r="A9" s="345" t="str">
        <f>CONCATENATE('Investment Proposal Inputs'!C6, " Investment Proposal")</f>
        <v xml:space="preserve"> Investment Proposal</v>
      </c>
      <c r="B9" s="345"/>
      <c r="C9" s="345"/>
      <c r="D9" s="345"/>
      <c r="E9" s="345"/>
      <c r="F9" s="345"/>
      <c r="G9" s="345"/>
      <c r="H9" s="65">
        <v>1</v>
      </c>
    </row>
    <row r="10" spans="1:20" ht="34">
      <c r="A10" s="346">
        <f>'Investment Proposal Inputs'!C13</f>
        <v>0</v>
      </c>
      <c r="B10" s="346"/>
      <c r="C10" s="346"/>
      <c r="D10" s="346"/>
      <c r="E10" s="346"/>
      <c r="F10" s="346"/>
      <c r="G10" s="346"/>
      <c r="H10" s="70">
        <v>1</v>
      </c>
      <c r="L10" s="78" t="s">
        <v>27</v>
      </c>
      <c r="M10" s="78" t="s">
        <v>28</v>
      </c>
      <c r="N10" s="78" t="s">
        <v>29</v>
      </c>
      <c r="O10" s="78" t="s">
        <v>30</v>
      </c>
      <c r="P10" s="78" t="s">
        <v>31</v>
      </c>
    </row>
    <row r="11" spans="1:20" ht="30" customHeight="1">
      <c r="A11" s="347" t="e">
        <f>'Investment Proposal Inputs'!#REF!</f>
        <v>#REF!</v>
      </c>
      <c r="B11" s="347"/>
      <c r="C11" s="347"/>
      <c r="D11" s="347"/>
      <c r="E11" s="347"/>
      <c r="F11" s="347"/>
      <c r="G11" s="347"/>
      <c r="H11" s="70">
        <v>1</v>
      </c>
      <c r="J11" s="84" t="s">
        <v>32</v>
      </c>
      <c r="K11" s="85" t="s">
        <v>33</v>
      </c>
      <c r="L11" s="81">
        <v>0</v>
      </c>
      <c r="M11" s="81">
        <v>0</v>
      </c>
      <c r="N11" s="81"/>
      <c r="O11" s="81"/>
      <c r="P11" s="81"/>
      <c r="Q11" s="80"/>
      <c r="R11" s="80"/>
      <c r="S11" s="80"/>
      <c r="T11" s="80"/>
    </row>
    <row r="12" spans="1:20">
      <c r="H12" s="70">
        <v>1</v>
      </c>
      <c r="L12" s="10"/>
      <c r="M12" s="10"/>
      <c r="N12" s="10"/>
      <c r="O12" s="10"/>
      <c r="P12" s="10"/>
      <c r="Q12" s="10"/>
      <c r="R12" s="10"/>
      <c r="S12" s="10"/>
    </row>
    <row r="13" spans="1:20">
      <c r="A13" s="7" t="s">
        <v>32</v>
      </c>
      <c r="B13" s="8" t="s">
        <v>34</v>
      </c>
      <c r="C13" s="9" t="s">
        <v>35</v>
      </c>
      <c r="D13" s="8" t="s">
        <v>36</v>
      </c>
      <c r="E13" s="8"/>
      <c r="F13" s="14" t="s">
        <v>37</v>
      </c>
      <c r="G13" s="14" t="s">
        <v>38</v>
      </c>
      <c r="H13" s="70">
        <v>1</v>
      </c>
      <c r="L13" s="10"/>
      <c r="M13" s="10"/>
      <c r="N13" s="10"/>
      <c r="O13" s="10"/>
      <c r="P13" s="10"/>
      <c r="Q13" s="10"/>
      <c r="R13" s="10"/>
      <c r="S13" s="10"/>
    </row>
    <row r="14" spans="1:20">
      <c r="B14" s="10"/>
      <c r="C14" s="13"/>
      <c r="H14" s="70">
        <v>1</v>
      </c>
      <c r="L14" s="10"/>
      <c r="M14" s="10"/>
      <c r="N14" s="10"/>
      <c r="O14" s="10"/>
      <c r="P14" s="10"/>
      <c r="Q14" s="10"/>
      <c r="R14" s="10"/>
      <c r="S14" s="10"/>
    </row>
    <row r="15" spans="1:20">
      <c r="A15" s="7" t="s">
        <v>39</v>
      </c>
      <c r="B15" s="10"/>
      <c r="C15" s="13"/>
      <c r="H15" s="72">
        <f>IF(A16=0,0,1)</f>
        <v>0</v>
      </c>
      <c r="J15" s="2" t="str">
        <f>IF(A15="Total","",IF(A15="","",A15))</f>
        <v>REAL ESTATE</v>
      </c>
      <c r="L15" s="10"/>
      <c r="M15" s="10"/>
      <c r="N15" s="10"/>
      <c r="O15" s="10"/>
      <c r="P15" s="10"/>
      <c r="Q15" s="10"/>
      <c r="R15" s="10"/>
      <c r="S15" s="10"/>
    </row>
    <row r="16" spans="1:20">
      <c r="B16" s="10"/>
      <c r="C16" s="13" t="str">
        <f>IFERROR(VLOOKUP(A16,'Asset Class Tables and Dropdown'!$A$3:$E$21,3,FALSE),"")</f>
        <v/>
      </c>
      <c r="D16" s="11" t="str">
        <f t="shared" ref="D16:D22" si="0">IFERROR(IF(B16*C16&gt;0,B16*C16,""),"")</f>
        <v/>
      </c>
      <c r="E16" s="11"/>
      <c r="F16" s="15" t="str">
        <f>IFERROR(VLOOKUP(A16,'Asset Class Tables and Dropdown'!$A$3:$E$21,4,FALSE),"")</f>
        <v/>
      </c>
      <c r="G16" s="12" t="str">
        <f>IFERROR(VLOOKUP(A16,'Asset Class Tables and Dropdown'!$A$3:$E$21,5,FALSE),"")</f>
        <v/>
      </c>
      <c r="H16" s="2">
        <f t="shared" ref="H16:H22" si="1">IF(A16=0,0,1)</f>
        <v>0</v>
      </c>
      <c r="J16" s="2" t="str">
        <f>IF(A16="Total","",IF(A16="","",A16))</f>
        <v/>
      </c>
      <c r="L16" s="10"/>
      <c r="M16" s="10"/>
      <c r="N16" s="10"/>
      <c r="O16" s="10"/>
      <c r="P16" s="10"/>
      <c r="Q16" s="10"/>
      <c r="R16" s="10"/>
      <c r="S16" s="10"/>
    </row>
    <row r="17" spans="1:19">
      <c r="B17" s="10"/>
      <c r="C17" s="13" t="str">
        <f>IFERROR(VLOOKUP(A17,'Asset Class Tables and Dropdown'!$A$3:$E$21,3,FALSE),"")</f>
        <v/>
      </c>
      <c r="D17" s="11" t="str">
        <f t="shared" si="0"/>
        <v/>
      </c>
      <c r="E17" s="11"/>
      <c r="F17" s="15" t="str">
        <f>IFERROR(VLOOKUP(A17,'Asset Class Tables and Dropdown'!$A$3:$E$21,4,FALSE),"")</f>
        <v/>
      </c>
      <c r="G17" s="12" t="str">
        <f>IFERROR(VLOOKUP(A17,'Asset Class Tables and Dropdown'!$A$3:$E$21,5,FALSE),"")</f>
        <v/>
      </c>
      <c r="H17" s="2">
        <f t="shared" si="1"/>
        <v>0</v>
      </c>
      <c r="J17" s="2" t="str">
        <f t="shared" ref="J17:J80" si="2">IF(A17="Total","",IF(A17="","",A17))</f>
        <v/>
      </c>
      <c r="L17" s="10"/>
      <c r="M17" s="10"/>
      <c r="N17" s="10"/>
      <c r="O17" s="10"/>
      <c r="P17" s="10"/>
      <c r="Q17" s="10"/>
      <c r="R17" s="10"/>
      <c r="S17" s="10"/>
    </row>
    <row r="18" spans="1:19">
      <c r="B18" s="10"/>
      <c r="C18" s="13" t="str">
        <f>IFERROR(VLOOKUP(A18,'Asset Class Tables and Dropdown'!$A$3:$E$21,3,FALSE),"")</f>
        <v/>
      </c>
      <c r="D18" s="11" t="str">
        <f t="shared" si="0"/>
        <v/>
      </c>
      <c r="E18" s="11"/>
      <c r="F18" s="15" t="str">
        <f>IFERROR(VLOOKUP(A18,'Asset Class Tables and Dropdown'!$A$3:$E$21,4,FALSE),"")</f>
        <v/>
      </c>
      <c r="G18" s="12" t="str">
        <f>IFERROR(VLOOKUP(A18,'Asset Class Tables and Dropdown'!$A$3:$E$21,5,FALSE),"")</f>
        <v/>
      </c>
      <c r="H18" s="2">
        <f t="shared" si="1"/>
        <v>0</v>
      </c>
      <c r="J18" s="2" t="str">
        <f t="shared" si="2"/>
        <v/>
      </c>
      <c r="L18" s="10"/>
      <c r="M18" s="10"/>
      <c r="N18" s="10"/>
      <c r="O18" s="10"/>
      <c r="P18" s="10"/>
      <c r="Q18" s="10"/>
      <c r="R18" s="10"/>
      <c r="S18" s="10"/>
    </row>
    <row r="19" spans="1:19">
      <c r="B19" s="10"/>
      <c r="C19" s="13" t="str">
        <f>IFERROR(VLOOKUP(A19,'Asset Class Tables and Dropdown'!$A$3:$E$21,3,FALSE),"")</f>
        <v/>
      </c>
      <c r="D19" s="11" t="str">
        <f t="shared" si="0"/>
        <v/>
      </c>
      <c r="E19" s="11"/>
      <c r="F19" s="15" t="str">
        <f>IFERROR(VLOOKUP(A19,'Asset Class Tables and Dropdown'!$A$3:$E$21,4,FALSE),"")</f>
        <v/>
      </c>
      <c r="G19" s="12" t="str">
        <f>IFERROR(VLOOKUP(A19,'Asset Class Tables and Dropdown'!$A$3:$E$21,5,FALSE),"")</f>
        <v/>
      </c>
      <c r="H19" s="2">
        <f t="shared" si="1"/>
        <v>0</v>
      </c>
      <c r="J19" s="2" t="str">
        <f t="shared" si="2"/>
        <v/>
      </c>
      <c r="L19" s="10"/>
      <c r="M19" s="10"/>
      <c r="N19" s="10"/>
      <c r="O19" s="10"/>
      <c r="P19" s="10"/>
      <c r="Q19" s="10"/>
      <c r="R19" s="10"/>
      <c r="S19" s="10"/>
    </row>
    <row r="20" spans="1:19">
      <c r="B20" s="10"/>
      <c r="C20" s="13" t="str">
        <f>IFERROR(VLOOKUP(A20,'Asset Class Tables and Dropdown'!$A$3:$E$21,3,FALSE),"")</f>
        <v/>
      </c>
      <c r="D20" s="11" t="str">
        <f t="shared" si="0"/>
        <v/>
      </c>
      <c r="E20" s="11"/>
      <c r="F20" s="15" t="str">
        <f>IFERROR(VLOOKUP(A20,'Asset Class Tables and Dropdown'!$A$3:$E$21,4,FALSE),"")</f>
        <v/>
      </c>
      <c r="G20" s="12" t="str">
        <f>IFERROR(VLOOKUP(A20,'Asset Class Tables and Dropdown'!$A$3:$E$21,5,FALSE),"")</f>
        <v/>
      </c>
      <c r="H20" s="2">
        <f t="shared" si="1"/>
        <v>0</v>
      </c>
      <c r="J20" s="2" t="str">
        <f t="shared" si="2"/>
        <v/>
      </c>
      <c r="L20" s="10"/>
      <c r="M20" s="10"/>
      <c r="N20" s="10"/>
      <c r="O20" s="10"/>
      <c r="P20" s="10"/>
      <c r="Q20" s="10"/>
      <c r="R20" s="10"/>
      <c r="S20" s="10"/>
    </row>
    <row r="21" spans="1:19">
      <c r="B21" s="10"/>
      <c r="C21" s="13" t="str">
        <f>IFERROR(VLOOKUP(A21,'Asset Class Tables and Dropdown'!$A$3:$E$21,3,FALSE),"")</f>
        <v/>
      </c>
      <c r="D21" s="11" t="str">
        <f t="shared" si="0"/>
        <v/>
      </c>
      <c r="E21" s="11"/>
      <c r="F21" s="15" t="str">
        <f>IFERROR(VLOOKUP(A21,'Asset Class Tables and Dropdown'!$A$3:$E$21,4,FALSE),"")</f>
        <v/>
      </c>
      <c r="G21" s="12" t="str">
        <f>IFERROR(VLOOKUP(A21,'Asset Class Tables and Dropdown'!$A$3:$E$21,5,FALSE),"")</f>
        <v/>
      </c>
      <c r="H21" s="2">
        <f t="shared" si="1"/>
        <v>0</v>
      </c>
      <c r="J21" s="2" t="str">
        <f t="shared" si="2"/>
        <v/>
      </c>
      <c r="L21" s="10"/>
      <c r="M21" s="10"/>
      <c r="N21" s="10"/>
      <c r="O21" s="10"/>
      <c r="P21" s="10"/>
      <c r="Q21" s="10"/>
      <c r="R21" s="10"/>
      <c r="S21" s="10"/>
    </row>
    <row r="22" spans="1:19">
      <c r="B22" s="10"/>
      <c r="C22" s="13" t="str">
        <f>IFERROR(VLOOKUP(A22,'Asset Class Tables and Dropdown'!$A$3:$E$21,3,FALSE),"")</f>
        <v/>
      </c>
      <c r="D22" s="11" t="str">
        <f t="shared" si="0"/>
        <v/>
      </c>
      <c r="E22" s="11"/>
      <c r="F22" s="15" t="str">
        <f>IFERROR(VLOOKUP(A22,'Asset Class Tables and Dropdown'!$A$3:$E$21,4,FALSE),"")</f>
        <v/>
      </c>
      <c r="G22" s="12" t="str">
        <f>IFERROR(VLOOKUP(A22,'Asset Class Tables and Dropdown'!$A$3:$E$21,5,FALSE),"")</f>
        <v/>
      </c>
      <c r="H22" s="2">
        <f t="shared" si="1"/>
        <v>0</v>
      </c>
      <c r="J22" s="2" t="str">
        <f t="shared" si="2"/>
        <v/>
      </c>
      <c r="L22" s="10"/>
      <c r="M22" s="10"/>
      <c r="N22" s="10"/>
      <c r="O22" s="10"/>
      <c r="P22" s="10"/>
      <c r="Q22" s="10"/>
      <c r="R22" s="10"/>
      <c r="S22" s="10"/>
    </row>
    <row r="23" spans="1:19">
      <c r="A23" s="21" t="s">
        <v>40</v>
      </c>
      <c r="B23" s="22">
        <f>SUM(B16:B22)</f>
        <v>0</v>
      </c>
      <c r="C23" s="22"/>
      <c r="D23" s="22">
        <f>SUM(D16:D22)</f>
        <v>0</v>
      </c>
      <c r="E23" s="23"/>
      <c r="F23" s="24"/>
      <c r="G23" s="64" t="str">
        <f>IFERROR(VLOOKUP(A23,'Asset Class Tables and Dropdown'!$A$4:$E$21,5,FALSE),"")</f>
        <v/>
      </c>
      <c r="H23" s="73">
        <f>IF(A16=0,0,1)</f>
        <v>0</v>
      </c>
      <c r="J23" s="2" t="str">
        <f t="shared" si="2"/>
        <v/>
      </c>
      <c r="L23" s="10"/>
      <c r="M23" s="10"/>
      <c r="N23" s="10"/>
      <c r="O23" s="10"/>
      <c r="P23" s="10"/>
      <c r="Q23" s="10"/>
      <c r="R23" s="10"/>
      <c r="S23" s="10"/>
    </row>
    <row r="24" spans="1:19">
      <c r="B24" s="10"/>
      <c r="C24" s="13"/>
      <c r="D24" s="11"/>
      <c r="E24" s="11"/>
      <c r="H24" s="73">
        <f>IF(A16=0,0,1)</f>
        <v>0</v>
      </c>
      <c r="J24" s="2" t="str">
        <f t="shared" si="2"/>
        <v/>
      </c>
      <c r="L24" s="10"/>
      <c r="M24" s="10"/>
      <c r="N24" s="10"/>
      <c r="O24" s="10"/>
      <c r="P24" s="10"/>
      <c r="Q24" s="10"/>
      <c r="R24" s="10"/>
      <c r="S24" s="10"/>
    </row>
    <row r="25" spans="1:19">
      <c r="A25" s="7" t="s">
        <v>41</v>
      </c>
      <c r="B25" s="10"/>
      <c r="C25" s="13"/>
      <c r="D25" s="11"/>
      <c r="E25" s="11"/>
      <c r="H25" s="73">
        <f>IF(A26=0,0,1)</f>
        <v>0</v>
      </c>
      <c r="J25" s="2" t="str">
        <f t="shared" si="2"/>
        <v>PRIVATE LENDING</v>
      </c>
      <c r="L25" s="10"/>
      <c r="M25" s="10"/>
      <c r="N25" s="10"/>
      <c r="O25" s="10"/>
      <c r="P25" s="10"/>
      <c r="Q25" s="10"/>
      <c r="R25" s="10"/>
      <c r="S25" s="10"/>
    </row>
    <row r="26" spans="1:19">
      <c r="B26" s="10"/>
      <c r="C26" s="13" t="str">
        <f>IFERROR(VLOOKUP(A26,'Asset Class Tables and Dropdown'!$A$25:$E$36,3,FALSE),"")</f>
        <v/>
      </c>
      <c r="D26" s="11" t="str">
        <f>IFERROR(IF(B26*C26&gt;0,B26*C26,""),"")</f>
        <v/>
      </c>
      <c r="E26" s="11"/>
      <c r="F26" s="15" t="str">
        <f>IFERROR(VLOOKUP(A26,'Asset Class Tables and Dropdown'!$A$25:$E$36,4,FALSE),"")</f>
        <v/>
      </c>
      <c r="G26" s="15" t="str">
        <f>IFERROR(VLOOKUP(A26,'Asset Class Tables and Dropdown'!$A$25:$E$36,5,FALSE),"")</f>
        <v/>
      </c>
      <c r="H26" s="2">
        <f>IF(A26=0,0,1)</f>
        <v>0</v>
      </c>
      <c r="J26" s="2" t="str">
        <f t="shared" si="2"/>
        <v/>
      </c>
      <c r="L26" s="10"/>
      <c r="M26" s="10">
        <f>B26</f>
        <v>0</v>
      </c>
      <c r="N26" s="10"/>
      <c r="O26" s="10"/>
      <c r="P26" s="10"/>
      <c r="Q26" s="10"/>
      <c r="R26" s="10"/>
      <c r="S26" s="10"/>
    </row>
    <row r="27" spans="1:19">
      <c r="B27" s="10"/>
      <c r="C27" s="13" t="str">
        <f>IFERROR(VLOOKUP(A27,'Asset Class Tables and Dropdown'!$A$25:$E$36,3,FALSE),"")</f>
        <v/>
      </c>
      <c r="D27" s="11" t="str">
        <f>IFERROR(IF(B27*C27&gt;0,B27*C27,""),"")</f>
        <v/>
      </c>
      <c r="E27" s="11"/>
      <c r="F27" s="15" t="str">
        <f>IFERROR(VLOOKUP(A27,'Asset Class Tables and Dropdown'!$A$25:$E$36,4,FALSE),"")</f>
        <v/>
      </c>
      <c r="G27" s="15" t="str">
        <f>IFERROR(VLOOKUP(A27,'Asset Class Tables and Dropdown'!$A$25:$E$36,5,FALSE),"")</f>
        <v/>
      </c>
      <c r="H27" s="2">
        <f>IF(A27=0,0,1)</f>
        <v>0</v>
      </c>
      <c r="J27" s="2" t="str">
        <f t="shared" si="2"/>
        <v/>
      </c>
      <c r="L27" s="10"/>
      <c r="M27" s="10">
        <f>B27</f>
        <v>0</v>
      </c>
      <c r="N27" s="10"/>
      <c r="O27" s="10"/>
      <c r="P27" s="10"/>
      <c r="Q27" s="10"/>
      <c r="R27" s="10"/>
      <c r="S27" s="10"/>
    </row>
    <row r="28" spans="1:19">
      <c r="B28" s="10"/>
      <c r="C28" s="67" t="str">
        <f>IFERROR(VLOOKUP(A28,'Asset Class Tables and Dropdown'!$A$25:$E$36,3,FALSE),"")</f>
        <v/>
      </c>
      <c r="D28" s="68" t="str">
        <f>IFERROR(IF(B28*C28&gt;0,B28*C28,""),"")</f>
        <v/>
      </c>
      <c r="E28" s="11"/>
      <c r="F28" s="15" t="str">
        <f>IFERROR(VLOOKUP(A28,'Asset Class Tables and Dropdown'!$A$25:$E$36,4,FALSE),"")</f>
        <v/>
      </c>
      <c r="G28" s="63" t="str">
        <f>IFERROR(VLOOKUP(A28,'Asset Class Tables and Dropdown'!$A$25:$E$36,5,FALSE),"")</f>
        <v/>
      </c>
      <c r="H28" s="2">
        <f>IF(A28=0,0,1)</f>
        <v>0</v>
      </c>
      <c r="J28" s="2" t="str">
        <f t="shared" si="2"/>
        <v/>
      </c>
      <c r="L28" s="10"/>
      <c r="M28" s="10"/>
      <c r="N28" s="10"/>
      <c r="O28" s="10"/>
      <c r="P28" s="10"/>
      <c r="Q28" s="10"/>
      <c r="R28" s="10"/>
      <c r="S28" s="10"/>
    </row>
    <row r="29" spans="1:19">
      <c r="A29" s="21" t="s">
        <v>40</v>
      </c>
      <c r="B29" s="22">
        <f>SUM(B26:B28)</f>
        <v>0</v>
      </c>
      <c r="C29" s="22"/>
      <c r="D29" s="22">
        <f>SUM(D26:D28)</f>
        <v>0</v>
      </c>
      <c r="E29" s="23"/>
      <c r="F29" s="24"/>
      <c r="G29" s="64" t="str">
        <f>IFERROR(VLOOKUP(A29,'Asset Class Tables and Dropdown'!$A$4:$E$21,5,FALSE),"")</f>
        <v/>
      </c>
      <c r="H29" s="73">
        <f>IF(A26=0,0,1)</f>
        <v>0</v>
      </c>
      <c r="J29" s="2" t="str">
        <f t="shared" si="2"/>
        <v/>
      </c>
      <c r="L29" s="10"/>
      <c r="M29" s="10"/>
      <c r="N29" s="10"/>
      <c r="O29" s="10"/>
      <c r="P29" s="10"/>
      <c r="Q29" s="10"/>
      <c r="R29" s="10"/>
      <c r="S29" s="10"/>
    </row>
    <row r="30" spans="1:19">
      <c r="B30" s="10"/>
      <c r="C30" s="13"/>
      <c r="D30" s="11" t="str">
        <f t="shared" ref="D30:D35" si="3">IFERROR(IF(B30*C30&gt;0,B30*C30,""),"")</f>
        <v/>
      </c>
      <c r="E30" s="11"/>
      <c r="G30" s="12" t="str">
        <f>IFERROR(VLOOKUP(A30,'Asset Class Tables and Dropdown'!$A$4:$E$21,5,FALSE),"")</f>
        <v/>
      </c>
      <c r="H30" s="73">
        <f>IF(A26=0,0,1)</f>
        <v>0</v>
      </c>
      <c r="J30" s="2" t="str">
        <f t="shared" si="2"/>
        <v/>
      </c>
      <c r="L30" s="10"/>
      <c r="M30" s="10"/>
      <c r="N30" s="10"/>
      <c r="O30" s="10"/>
      <c r="P30" s="10"/>
      <c r="Q30" s="10"/>
      <c r="R30" s="10"/>
      <c r="S30" s="10"/>
    </row>
    <row r="31" spans="1:19">
      <c r="A31" s="7" t="s">
        <v>42</v>
      </c>
      <c r="B31" s="10"/>
      <c r="C31" s="13"/>
      <c r="D31" s="11" t="str">
        <f t="shared" si="3"/>
        <v/>
      </c>
      <c r="E31" s="11"/>
      <c r="H31" s="73">
        <f>IF(A32=0,0,1)</f>
        <v>0</v>
      </c>
      <c r="J31" s="2" t="str">
        <f t="shared" si="2"/>
        <v>PRIVATE EQUITY</v>
      </c>
      <c r="L31" s="10"/>
      <c r="M31" s="10"/>
      <c r="N31" s="10"/>
      <c r="O31" s="10"/>
      <c r="P31" s="10"/>
      <c r="Q31" s="10"/>
      <c r="R31" s="10"/>
      <c r="S31" s="10"/>
    </row>
    <row r="32" spans="1:19">
      <c r="B32" s="10"/>
      <c r="C32" s="69" t="str">
        <f>IFERROR(VLOOKUP(A32,'Asset Class Tables and Dropdown'!$A$40:$E$50,3,FALSE),"")</f>
        <v/>
      </c>
      <c r="D32" s="68" t="str">
        <f t="shared" si="3"/>
        <v/>
      </c>
      <c r="E32" s="11"/>
      <c r="F32" s="15" t="str">
        <f>IFERROR(VLOOKUP(A32,'Asset Class Tables and Dropdown'!$A$40:$F$50,4,FALSE),"")</f>
        <v/>
      </c>
      <c r="G32" s="12" t="str">
        <f>IFERROR(VLOOKUP(A32,'Asset Class Tables and Dropdown'!$A$40:$E$50,5,FALSE),"")</f>
        <v/>
      </c>
      <c r="H32" s="2">
        <f>IF(A32=0,0,1)</f>
        <v>0</v>
      </c>
      <c r="J32" s="2" t="str">
        <f t="shared" si="2"/>
        <v/>
      </c>
      <c r="L32" s="10"/>
      <c r="M32" s="10">
        <f>B32</f>
        <v>0</v>
      </c>
      <c r="N32" s="10"/>
      <c r="O32" s="10"/>
      <c r="P32" s="10"/>
      <c r="Q32" s="10"/>
      <c r="R32" s="10"/>
      <c r="S32" s="10"/>
    </row>
    <row r="33" spans="1:19">
      <c r="B33" s="10"/>
      <c r="C33" s="69" t="str">
        <f>IFERROR(VLOOKUP(A33,'Asset Class Tables and Dropdown'!$A$40:$E$50,3,FALSE),"")</f>
        <v/>
      </c>
      <c r="D33" s="68" t="str">
        <f t="shared" si="3"/>
        <v/>
      </c>
      <c r="E33" s="11"/>
      <c r="F33" s="15" t="str">
        <f>IFERROR(VLOOKUP(A33,'Asset Class Tables and Dropdown'!$A$40:$F$50,4,FALSE),"")</f>
        <v/>
      </c>
      <c r="G33" s="12" t="str">
        <f>IFERROR(VLOOKUP(A33,'Asset Class Tables and Dropdown'!$A$40:$E$50,5,FALSE),"")</f>
        <v/>
      </c>
      <c r="H33" s="2">
        <f>IF(A33=0,0,1)</f>
        <v>0</v>
      </c>
      <c r="J33" s="2" t="str">
        <f t="shared" si="2"/>
        <v/>
      </c>
      <c r="L33" s="10"/>
      <c r="M33" s="10"/>
      <c r="N33" s="10"/>
      <c r="O33" s="10"/>
      <c r="P33" s="10"/>
      <c r="Q33" s="10"/>
      <c r="R33" s="10"/>
      <c r="S33" s="10"/>
    </row>
    <row r="34" spans="1:19">
      <c r="B34" s="10"/>
      <c r="C34" s="69" t="str">
        <f>IFERROR(VLOOKUP(A34,'Asset Class Tables and Dropdown'!$A$40:$E$50,3,FALSE),"")</f>
        <v/>
      </c>
      <c r="D34" s="68" t="str">
        <f t="shared" si="3"/>
        <v/>
      </c>
      <c r="E34" s="11"/>
      <c r="F34" s="15" t="str">
        <f>IFERROR(VLOOKUP(A34,'Asset Class Tables and Dropdown'!$A$40:$F$50,4,FALSE),"")</f>
        <v/>
      </c>
      <c r="G34" s="12" t="str">
        <f>IFERROR(VLOOKUP(A34,'Asset Class Tables and Dropdown'!$A$40:$E$50,5,FALSE),"")</f>
        <v/>
      </c>
      <c r="H34" s="2">
        <f>IF(A34=0,0,1)</f>
        <v>0</v>
      </c>
      <c r="J34" s="2" t="str">
        <f t="shared" si="2"/>
        <v/>
      </c>
      <c r="L34" s="10"/>
      <c r="M34" s="10"/>
      <c r="N34" s="10"/>
      <c r="O34" s="10"/>
      <c r="P34" s="10"/>
      <c r="Q34" s="10"/>
      <c r="R34" s="10"/>
      <c r="S34" s="10"/>
    </row>
    <row r="35" spans="1:19">
      <c r="B35" s="10"/>
      <c r="C35" s="69" t="str">
        <f>IFERROR(VLOOKUP(A35,'Asset Class Tables and Dropdown'!$A$40:$E$50,3,FALSE),"")</f>
        <v/>
      </c>
      <c r="D35" s="68" t="str">
        <f t="shared" si="3"/>
        <v/>
      </c>
      <c r="E35" s="11"/>
      <c r="F35" s="15" t="str">
        <f>IFERROR(VLOOKUP(A35,'Asset Class Tables and Dropdown'!$A$40:$F$50,4,FALSE),"")</f>
        <v/>
      </c>
      <c r="G35" s="49" t="str">
        <f>IFERROR(VLOOKUP(A35,'Asset Class Tables and Dropdown'!$A$40:$E$50,5,FALSE),"")</f>
        <v/>
      </c>
      <c r="H35" s="2">
        <f>IF(A35=0,0,1)</f>
        <v>0</v>
      </c>
      <c r="J35" s="2" t="str">
        <f t="shared" si="2"/>
        <v/>
      </c>
      <c r="L35" s="10"/>
      <c r="M35" s="10"/>
      <c r="N35" s="10"/>
      <c r="O35" s="10"/>
      <c r="P35" s="10"/>
      <c r="Q35" s="10"/>
      <c r="R35" s="10"/>
      <c r="S35" s="10"/>
    </row>
    <row r="36" spans="1:19">
      <c r="A36" s="21" t="s">
        <v>40</v>
      </c>
      <c r="B36" s="22">
        <f>SUM(B32:B35)</f>
        <v>0</v>
      </c>
      <c r="C36" s="22"/>
      <c r="D36" s="22">
        <f>SUM(D32:D35)</f>
        <v>0</v>
      </c>
      <c r="E36" s="23"/>
      <c r="F36" s="24"/>
      <c r="G36" s="64" t="str">
        <f>IFERROR(VLOOKUP(A36,'Asset Class Tables and Dropdown'!$A$4:$E$21,5,FALSE),"")</f>
        <v/>
      </c>
      <c r="H36" s="72">
        <f>IF(A32=0,0,1)</f>
        <v>0</v>
      </c>
      <c r="J36" s="2" t="str">
        <f t="shared" si="2"/>
        <v/>
      </c>
      <c r="L36" s="10"/>
      <c r="M36" s="10"/>
      <c r="N36" s="10"/>
      <c r="O36" s="10"/>
      <c r="P36" s="10"/>
      <c r="Q36" s="10"/>
      <c r="R36" s="10"/>
      <c r="S36" s="10"/>
    </row>
    <row r="37" spans="1:19">
      <c r="B37" s="10"/>
      <c r="C37" s="10"/>
      <c r="D37" s="10"/>
      <c r="E37" s="11"/>
      <c r="H37" s="72">
        <f>IF(A32=0,0,1)</f>
        <v>0</v>
      </c>
      <c r="J37" s="2" t="str">
        <f t="shared" si="2"/>
        <v/>
      </c>
      <c r="L37" s="10"/>
      <c r="M37" s="10"/>
      <c r="N37" s="10"/>
      <c r="O37" s="10"/>
      <c r="P37" s="10"/>
      <c r="Q37" s="10"/>
      <c r="R37" s="10"/>
      <c r="S37" s="10"/>
    </row>
    <row r="38" spans="1:19">
      <c r="A38" s="7" t="s">
        <v>43</v>
      </c>
      <c r="B38" s="10"/>
      <c r="C38" s="13"/>
      <c r="D38" s="11" t="str">
        <f t="shared" ref="D38:D43" si="4">IFERROR(IF(B38*C38&gt;0,B38*C38,""),"")</f>
        <v/>
      </c>
      <c r="E38" s="11"/>
      <c r="H38" s="73">
        <f>IF(A39=0,0,1)</f>
        <v>0</v>
      </c>
      <c r="J38" s="2" t="str">
        <f t="shared" si="2"/>
        <v>NATURAL RESOURCES</v>
      </c>
      <c r="L38" s="10"/>
      <c r="M38" s="10"/>
      <c r="N38" s="10"/>
      <c r="O38" s="10"/>
      <c r="P38" s="10"/>
      <c r="Q38" s="10"/>
      <c r="R38" s="10"/>
      <c r="S38" s="10"/>
    </row>
    <row r="39" spans="1:19">
      <c r="B39" s="10"/>
      <c r="C39" s="66" t="str">
        <f>IFERROR(VLOOKUP(A39,'Asset Class Tables and Dropdown'!$A$54:$E$63,3,FALSE),"")</f>
        <v/>
      </c>
      <c r="D39" s="11" t="str">
        <f t="shared" si="4"/>
        <v/>
      </c>
      <c r="E39" s="11"/>
      <c r="F39" s="15" t="str">
        <f>IFERROR(VLOOKUP(A39,'Asset Class Tables and Dropdown'!$A$54:$F$63,4,FALSE),"")</f>
        <v/>
      </c>
      <c r="G39" s="12" t="str">
        <f>IFERROR(VLOOKUP(A39,'Asset Class Tables and Dropdown'!$A$54:$E$63,5,FALSE),"")</f>
        <v/>
      </c>
      <c r="H39" s="65">
        <f>IF(A39=0,0,1)</f>
        <v>0</v>
      </c>
      <c r="J39" s="2" t="str">
        <f t="shared" si="2"/>
        <v/>
      </c>
      <c r="L39" s="10"/>
      <c r="M39" s="10">
        <f>B39</f>
        <v>0</v>
      </c>
      <c r="N39" s="10"/>
      <c r="O39" s="10"/>
      <c r="P39" s="10"/>
      <c r="Q39" s="10"/>
      <c r="R39" s="10"/>
      <c r="S39" s="10"/>
    </row>
    <row r="40" spans="1:19">
      <c r="B40" s="10"/>
      <c r="C40" s="66" t="str">
        <f>IFERROR(VLOOKUP(A40,'Asset Class Tables and Dropdown'!$A$54:$E$63,3,FALSE),"")</f>
        <v/>
      </c>
      <c r="D40" s="11" t="str">
        <f t="shared" si="4"/>
        <v/>
      </c>
      <c r="E40" s="11"/>
      <c r="F40" s="15" t="str">
        <f>IFERROR(VLOOKUP(A40,'Asset Class Tables and Dropdown'!$A$54:$F$63,4,FALSE),"")</f>
        <v/>
      </c>
      <c r="G40" s="12" t="str">
        <f>IFERROR(VLOOKUP(A40,'Asset Class Tables and Dropdown'!$A$54:$E$63,5,FALSE),"")</f>
        <v/>
      </c>
      <c r="H40" s="65">
        <f>IF(A40=0,0,1)</f>
        <v>0</v>
      </c>
      <c r="J40" s="2" t="str">
        <f t="shared" si="2"/>
        <v/>
      </c>
      <c r="L40" s="10"/>
      <c r="M40" s="10">
        <f>B40</f>
        <v>0</v>
      </c>
      <c r="N40" s="10"/>
      <c r="O40" s="10"/>
      <c r="P40" s="10"/>
      <c r="Q40" s="10"/>
      <c r="R40" s="10"/>
      <c r="S40" s="10"/>
    </row>
    <row r="41" spans="1:19">
      <c r="B41" s="10"/>
      <c r="C41" s="66" t="str">
        <f>IFERROR(VLOOKUP(A41,'Asset Class Tables and Dropdown'!$A$54:$E$63,3,FALSE),"")</f>
        <v/>
      </c>
      <c r="D41" s="11" t="str">
        <f t="shared" si="4"/>
        <v/>
      </c>
      <c r="E41" s="11"/>
      <c r="F41" s="15" t="str">
        <f>IFERROR(VLOOKUP(A41,'Asset Class Tables and Dropdown'!$A$54:$F$63,4,FALSE),"")</f>
        <v/>
      </c>
      <c r="G41" s="12" t="str">
        <f>IFERROR(VLOOKUP(A41,'Asset Class Tables and Dropdown'!$A$54:$E$63,5,FALSE),"")</f>
        <v/>
      </c>
      <c r="H41" s="65">
        <f>IF(A41=0,0,1)</f>
        <v>0</v>
      </c>
      <c r="J41" s="2" t="str">
        <f t="shared" si="2"/>
        <v/>
      </c>
      <c r="L41" s="10"/>
      <c r="M41" s="10"/>
      <c r="N41" s="10"/>
      <c r="O41" s="10"/>
      <c r="P41" s="10"/>
      <c r="Q41" s="10"/>
      <c r="R41" s="10"/>
      <c r="S41" s="10"/>
    </row>
    <row r="42" spans="1:19">
      <c r="B42" s="10"/>
      <c r="C42" s="66" t="str">
        <f>IFERROR(VLOOKUP(A42,'Asset Class Tables and Dropdown'!$A$54:$E$63,3,FALSE),"")</f>
        <v/>
      </c>
      <c r="D42" s="11" t="str">
        <f t="shared" si="4"/>
        <v/>
      </c>
      <c r="E42" s="11"/>
      <c r="F42" s="15" t="str">
        <f>IFERROR(VLOOKUP(A42,'Asset Class Tables and Dropdown'!$A$54:$F$63,4,FALSE),"")</f>
        <v/>
      </c>
      <c r="G42" s="12" t="str">
        <f>IFERROR(VLOOKUP(A42,'Asset Class Tables and Dropdown'!$A$54:$E$63,5,FALSE),"")</f>
        <v/>
      </c>
      <c r="H42" s="65">
        <f>IF(A42=0,0,1)</f>
        <v>0</v>
      </c>
      <c r="J42" s="2" t="str">
        <f t="shared" si="2"/>
        <v/>
      </c>
      <c r="L42" s="10"/>
      <c r="M42" s="10"/>
      <c r="N42" s="10"/>
      <c r="O42" s="10"/>
      <c r="P42" s="10"/>
      <c r="Q42" s="10"/>
      <c r="R42" s="10"/>
      <c r="S42" s="10"/>
    </row>
    <row r="43" spans="1:19">
      <c r="B43" s="10"/>
      <c r="C43" s="66" t="str">
        <f>IFERROR(VLOOKUP(A43,'Asset Class Tables and Dropdown'!$A$54:$E$63,3,FALSE),"")</f>
        <v/>
      </c>
      <c r="D43" s="11" t="str">
        <f t="shared" si="4"/>
        <v/>
      </c>
      <c r="E43" s="11"/>
      <c r="F43" s="15" t="str">
        <f>IFERROR(VLOOKUP(A43,'Asset Class Tables and Dropdown'!$A$54:$F$63,4,FALSE),"")</f>
        <v/>
      </c>
      <c r="G43" s="12" t="str">
        <f>IFERROR(VLOOKUP(A43,'Asset Class Tables and Dropdown'!$A$54:$E$63,5,FALSE),"")</f>
        <v/>
      </c>
      <c r="H43" s="65">
        <f>IF(A43=0,0,1)</f>
        <v>0</v>
      </c>
      <c r="J43" s="2" t="str">
        <f t="shared" si="2"/>
        <v/>
      </c>
      <c r="L43" s="10"/>
      <c r="M43" s="10"/>
      <c r="N43" s="10"/>
      <c r="O43" s="10"/>
      <c r="P43" s="10"/>
      <c r="Q43" s="10"/>
      <c r="R43" s="10"/>
      <c r="S43" s="10"/>
    </row>
    <row r="44" spans="1:19">
      <c r="A44" s="21" t="s">
        <v>40</v>
      </c>
      <c r="B44" s="22">
        <f>SUM(B39:B43)</f>
        <v>0</v>
      </c>
      <c r="C44" s="22"/>
      <c r="D44" s="22">
        <f>SUM(D39:D43)</f>
        <v>0</v>
      </c>
      <c r="E44" s="23"/>
      <c r="F44" s="24"/>
      <c r="G44" s="64" t="str">
        <f>IFERROR(VLOOKUP(A44,'Asset Class Tables and Dropdown'!$A$4:$E$21,5,FALSE),"")</f>
        <v/>
      </c>
      <c r="H44" s="73">
        <f>IF(A39=0,0,1)</f>
        <v>0</v>
      </c>
      <c r="J44" s="2" t="str">
        <f t="shared" si="2"/>
        <v/>
      </c>
      <c r="L44" s="10"/>
      <c r="M44" s="10"/>
      <c r="N44" s="10"/>
      <c r="O44" s="10"/>
      <c r="P44" s="10"/>
      <c r="Q44" s="10"/>
      <c r="R44" s="10"/>
      <c r="S44" s="10"/>
    </row>
    <row r="45" spans="1:19">
      <c r="B45" s="10"/>
      <c r="C45" s="10"/>
      <c r="D45" s="10"/>
      <c r="E45" s="11"/>
      <c r="H45" s="73">
        <f>IF(A39=0,0,1)</f>
        <v>0</v>
      </c>
      <c r="J45" s="2" t="str">
        <f t="shared" si="2"/>
        <v/>
      </c>
      <c r="L45" s="10"/>
      <c r="M45" s="10"/>
      <c r="N45" s="10"/>
      <c r="O45" s="10"/>
      <c r="P45" s="10"/>
      <c r="Q45" s="10"/>
      <c r="R45" s="10"/>
      <c r="S45" s="10"/>
    </row>
    <row r="46" spans="1:19">
      <c r="A46" s="7" t="s">
        <v>44</v>
      </c>
      <c r="B46" s="10"/>
      <c r="C46" s="13"/>
      <c r="D46" s="11" t="str">
        <f t="shared" ref="D46:D53" si="5">IFERROR(IF(B46*C46&gt;0,B46*C46,""),"")</f>
        <v/>
      </c>
      <c r="E46" s="11"/>
      <c r="H46" s="73">
        <f>IF(A47=0,0,1)</f>
        <v>0</v>
      </c>
      <c r="J46" s="2" t="str">
        <f t="shared" si="2"/>
        <v>ABSOLUTE RETURN</v>
      </c>
      <c r="L46" s="10"/>
      <c r="M46" s="10"/>
      <c r="N46" s="10"/>
      <c r="O46" s="10"/>
      <c r="P46" s="10"/>
      <c r="Q46" s="10"/>
      <c r="R46" s="10"/>
      <c r="S46" s="10"/>
    </row>
    <row r="47" spans="1:19">
      <c r="B47" s="10"/>
      <c r="C47" s="13" t="str">
        <f>IFERROR(VLOOKUP(A47,'Asset Class Tables and Dropdown'!$A$66:$E$83,3,FALSE),"")</f>
        <v/>
      </c>
      <c r="D47" s="11" t="str">
        <f>IFERROR(IF(B47*C47&gt;0,B47*C47,""),"")</f>
        <v/>
      </c>
      <c r="E47" s="11"/>
      <c r="F47" s="15" t="str">
        <f>IFERROR(VLOOKUP(A47,'Asset Class Tables and Dropdown'!$A$66:$E$84,4),"")</f>
        <v/>
      </c>
      <c r="G47" s="15" t="str">
        <f>IFERROR(VLOOKUP(A47,'Asset Class Tables and Dropdown'!$A$66:$E$84,5),"")</f>
        <v/>
      </c>
      <c r="H47" s="65">
        <f>IF(A47=0,0,1)</f>
        <v>0</v>
      </c>
      <c r="J47" s="2" t="str">
        <f t="shared" si="2"/>
        <v/>
      </c>
      <c r="L47" s="10"/>
      <c r="M47" s="10">
        <f>B47</f>
        <v>0</v>
      </c>
      <c r="N47" s="10"/>
      <c r="O47" s="10"/>
      <c r="P47" s="10"/>
      <c r="Q47" s="10"/>
      <c r="R47" s="10"/>
      <c r="S47" s="10"/>
    </row>
    <row r="48" spans="1:19">
      <c r="B48" s="10"/>
      <c r="C48" s="13" t="str">
        <f>IFERROR(VLOOKUP(A48,'Asset Class Tables and Dropdown'!$A$66:$E$83,3,FALSE),"")</f>
        <v/>
      </c>
      <c r="D48" s="11" t="str">
        <f t="shared" si="5"/>
        <v/>
      </c>
      <c r="E48" s="11"/>
      <c r="F48" s="15" t="str">
        <f>IFERROR(VLOOKUP(A48,'Asset Class Tables and Dropdown'!$A$66:$E$84,4),"")</f>
        <v/>
      </c>
      <c r="G48" s="15" t="str">
        <f>IFERROR(VLOOKUP(A48,'Asset Class Tables and Dropdown'!$A$66:$E$84,5),"")</f>
        <v/>
      </c>
      <c r="H48" s="65">
        <f t="shared" ref="H48:H53" si="6">IF(A48=0,0,1)</f>
        <v>0</v>
      </c>
      <c r="J48" s="2" t="str">
        <f t="shared" si="2"/>
        <v/>
      </c>
      <c r="L48" s="10"/>
      <c r="M48" s="10">
        <f>B48</f>
        <v>0</v>
      </c>
      <c r="N48" s="10"/>
      <c r="O48" s="10"/>
      <c r="P48" s="10"/>
      <c r="Q48" s="10"/>
      <c r="R48" s="10"/>
      <c r="S48" s="10"/>
    </row>
    <row r="49" spans="1:19">
      <c r="B49" s="10"/>
      <c r="C49" s="13" t="str">
        <f>IFERROR(VLOOKUP(A49,'Asset Class Tables and Dropdown'!$A$66:$E$83,3,FALSE),"")</f>
        <v/>
      </c>
      <c r="D49" s="11" t="str">
        <f t="shared" si="5"/>
        <v/>
      </c>
      <c r="E49" s="11"/>
      <c r="F49" s="15" t="str">
        <f>IFERROR(VLOOKUP(A49,'Asset Class Tables and Dropdown'!$A$66:$E$84,4),"")</f>
        <v/>
      </c>
      <c r="G49" s="15" t="str">
        <f>IFERROR(VLOOKUP(A49,'Asset Class Tables and Dropdown'!$A$66:$E$84,5),"")</f>
        <v/>
      </c>
      <c r="H49" s="65">
        <f t="shared" si="6"/>
        <v>0</v>
      </c>
      <c r="J49" s="2" t="str">
        <f t="shared" si="2"/>
        <v/>
      </c>
      <c r="L49" s="10"/>
      <c r="M49" s="10"/>
      <c r="N49" s="10"/>
      <c r="O49" s="10"/>
      <c r="P49" s="10"/>
      <c r="Q49" s="10"/>
      <c r="R49" s="10"/>
      <c r="S49" s="10"/>
    </row>
    <row r="50" spans="1:19">
      <c r="B50" s="10"/>
      <c r="C50" s="13" t="str">
        <f>IFERROR(VLOOKUP(A50,'Asset Class Tables and Dropdown'!$A$66:$E$83,3,FALSE),"")</f>
        <v/>
      </c>
      <c r="D50" s="11" t="str">
        <f t="shared" si="5"/>
        <v/>
      </c>
      <c r="E50" s="11"/>
      <c r="F50" s="15" t="str">
        <f>IFERROR(VLOOKUP(A50,'Asset Class Tables and Dropdown'!$A$66:$E$84,4),"")</f>
        <v/>
      </c>
      <c r="G50" s="15" t="str">
        <f>IFERROR(VLOOKUP(A50,'Asset Class Tables and Dropdown'!$A$66:$E$84,5),"")</f>
        <v/>
      </c>
      <c r="H50" s="65">
        <f t="shared" si="6"/>
        <v>0</v>
      </c>
      <c r="J50" s="2" t="str">
        <f t="shared" si="2"/>
        <v/>
      </c>
      <c r="L50" s="10"/>
      <c r="M50" s="10">
        <f>B50</f>
        <v>0</v>
      </c>
      <c r="N50" s="10"/>
      <c r="O50" s="10"/>
      <c r="P50" s="10"/>
      <c r="Q50" s="10"/>
      <c r="R50" s="10"/>
      <c r="S50" s="10"/>
    </row>
    <row r="51" spans="1:19">
      <c r="B51" s="10"/>
      <c r="C51" s="13" t="str">
        <f>IFERROR(VLOOKUP(A51,'Asset Class Tables and Dropdown'!$A$66:$E$83,3,FALSE),"")</f>
        <v/>
      </c>
      <c r="D51" s="11" t="str">
        <f t="shared" si="5"/>
        <v/>
      </c>
      <c r="E51" s="11"/>
      <c r="F51" s="15" t="str">
        <f>IFERROR(VLOOKUP(A51,'Asset Class Tables and Dropdown'!$A$66:$E$84,4),"")</f>
        <v/>
      </c>
      <c r="G51" s="15" t="str">
        <f>IFERROR(VLOOKUP(A51,'Asset Class Tables and Dropdown'!$A$66:$E$84,5),"")</f>
        <v/>
      </c>
      <c r="H51" s="65">
        <f t="shared" si="6"/>
        <v>0</v>
      </c>
      <c r="J51" s="2" t="str">
        <f t="shared" si="2"/>
        <v/>
      </c>
      <c r="L51" s="10"/>
      <c r="M51" s="10"/>
      <c r="N51" s="10"/>
      <c r="O51" s="10"/>
      <c r="P51" s="10"/>
      <c r="Q51" s="10"/>
      <c r="R51" s="10"/>
      <c r="S51" s="10"/>
    </row>
    <row r="52" spans="1:19">
      <c r="B52" s="10"/>
      <c r="C52" s="13" t="str">
        <f>IFERROR(VLOOKUP(A52,'Asset Class Tables and Dropdown'!$A$66:$E$83,3,FALSE),"")</f>
        <v/>
      </c>
      <c r="D52" s="11" t="str">
        <f t="shared" si="5"/>
        <v/>
      </c>
      <c r="E52" s="11"/>
      <c r="F52" s="15" t="str">
        <f>IFERROR(VLOOKUP(A52,'Asset Class Tables and Dropdown'!$A$66:$E$84,4),"")</f>
        <v/>
      </c>
      <c r="G52" s="15" t="str">
        <f>IFERROR(VLOOKUP(A52,'Asset Class Tables and Dropdown'!$A$66:$E$84,5),"")</f>
        <v/>
      </c>
      <c r="H52" s="65">
        <f t="shared" si="6"/>
        <v>0</v>
      </c>
      <c r="J52" s="2" t="str">
        <f t="shared" si="2"/>
        <v/>
      </c>
      <c r="L52" s="10"/>
      <c r="M52" s="10"/>
      <c r="N52" s="10"/>
      <c r="O52" s="10"/>
      <c r="P52" s="10"/>
      <c r="Q52" s="10"/>
      <c r="R52" s="10"/>
      <c r="S52" s="10"/>
    </row>
    <row r="53" spans="1:19">
      <c r="B53" s="10"/>
      <c r="C53" s="13" t="str">
        <f>IFERROR(VLOOKUP(A53,'Asset Class Tables and Dropdown'!$A$66:$E$83,3,FALSE),"")</f>
        <v/>
      </c>
      <c r="D53" s="11" t="str">
        <f t="shared" si="5"/>
        <v/>
      </c>
      <c r="E53" s="11"/>
      <c r="F53" s="15" t="str">
        <f>IFERROR(VLOOKUP(A53,'Asset Class Tables and Dropdown'!$A$66:$E$84,4),"")</f>
        <v/>
      </c>
      <c r="G53" s="63" t="str">
        <f>IFERROR(VLOOKUP(A53,'Asset Class Tables and Dropdown'!$A$66:$E$84,5),"")</f>
        <v/>
      </c>
      <c r="H53" s="65">
        <f t="shared" si="6"/>
        <v>0</v>
      </c>
      <c r="J53" s="2" t="str">
        <f t="shared" si="2"/>
        <v/>
      </c>
      <c r="L53" s="10"/>
      <c r="M53" s="10"/>
      <c r="N53" s="10"/>
      <c r="O53" s="10"/>
      <c r="P53" s="10"/>
      <c r="Q53" s="10"/>
      <c r="R53" s="10"/>
      <c r="S53" s="10"/>
    </row>
    <row r="54" spans="1:19">
      <c r="A54" s="21" t="s">
        <v>40</v>
      </c>
      <c r="B54" s="22">
        <f>SUM(B47:B53)</f>
        <v>0</v>
      </c>
      <c r="C54" s="22"/>
      <c r="D54" s="22">
        <f>SUM(D47:D53)</f>
        <v>0</v>
      </c>
      <c r="E54" s="23"/>
      <c r="F54" s="24"/>
      <c r="G54" s="64" t="str">
        <f>IFERROR(VLOOKUP(A54,'Asset Class Tables and Dropdown'!$A$4:$E$21,5,FALSE),"")</f>
        <v/>
      </c>
      <c r="H54" s="73">
        <f>IF(A47=0,0,1)</f>
        <v>0</v>
      </c>
      <c r="J54" s="2" t="str">
        <f t="shared" si="2"/>
        <v/>
      </c>
      <c r="L54" s="10"/>
      <c r="M54" s="10"/>
      <c r="N54" s="10"/>
      <c r="O54" s="10"/>
      <c r="P54" s="10"/>
      <c r="Q54" s="10"/>
      <c r="R54" s="10"/>
      <c r="S54" s="10"/>
    </row>
    <row r="55" spans="1:19">
      <c r="B55" s="10"/>
      <c r="C55" s="10"/>
      <c r="D55" s="10"/>
      <c r="E55" s="11"/>
      <c r="H55" s="73">
        <f>IF(A47=0,0,1)</f>
        <v>0</v>
      </c>
      <c r="J55" s="2" t="str">
        <f t="shared" si="2"/>
        <v/>
      </c>
      <c r="L55" s="10"/>
      <c r="M55" s="10"/>
      <c r="N55" s="10"/>
      <c r="O55" s="10"/>
      <c r="P55" s="10"/>
      <c r="Q55" s="10"/>
      <c r="R55" s="10"/>
      <c r="S55" s="10"/>
    </row>
    <row r="56" spans="1:19">
      <c r="A56" s="7" t="s">
        <v>45</v>
      </c>
      <c r="B56" s="10"/>
      <c r="C56" s="10"/>
      <c r="D56" s="10"/>
      <c r="E56" s="11"/>
      <c r="H56" s="73">
        <f>IF(A57=0,0,1)</f>
        <v>0</v>
      </c>
      <c r="J56" s="2" t="str">
        <f t="shared" si="2"/>
        <v>FIXED INCOME</v>
      </c>
      <c r="L56" s="10"/>
      <c r="M56" s="10"/>
      <c r="N56" s="10"/>
      <c r="O56" s="10"/>
      <c r="P56" s="10"/>
      <c r="Q56" s="10"/>
      <c r="R56" s="10"/>
      <c r="S56" s="10"/>
    </row>
    <row r="57" spans="1:19">
      <c r="B57" s="10"/>
      <c r="C57" s="76" t="str">
        <f>IFERROR(VLOOKUP(A57,'Asset Class Tables and Dropdown'!$A$87:$E$95,3,FALSE),"")</f>
        <v/>
      </c>
      <c r="D57" s="10" t="str">
        <f>IFERROR(IF(B57*C57&gt;0,B57*C57,""),"")</f>
        <v/>
      </c>
      <c r="E57" s="11"/>
      <c r="F57" s="15" t="str">
        <f>IFERROR(VLOOKUP(A57,'Asset Class Tables and Dropdown'!$A$87:$E$95,4,FALSE),"")</f>
        <v/>
      </c>
      <c r="G57" s="12" t="str">
        <f>IFERROR(VLOOKUP(A57,'Asset Class Tables and Dropdown'!$A$87:$E$95,5,FALSE),"")</f>
        <v/>
      </c>
      <c r="H57" s="77">
        <f>IF(A57=0,0,1)</f>
        <v>0</v>
      </c>
      <c r="J57" s="2" t="str">
        <f t="shared" si="2"/>
        <v/>
      </c>
      <c r="L57" s="10"/>
      <c r="M57" s="10">
        <f>B57</f>
        <v>0</v>
      </c>
      <c r="N57" s="10"/>
      <c r="O57" s="10"/>
      <c r="P57" s="10"/>
      <c r="Q57" s="10"/>
      <c r="R57" s="10"/>
      <c r="S57" s="10"/>
    </row>
    <row r="58" spans="1:19">
      <c r="B58" s="10"/>
      <c r="C58" s="76" t="str">
        <f>IFERROR(VLOOKUP(A58,'Asset Class Tables and Dropdown'!$A$87:$E$95,3,FALSE),"")</f>
        <v/>
      </c>
      <c r="D58" s="10" t="str">
        <f>IFERROR(IF(B58*C58&gt;0,B58*C58,""),"")</f>
        <v/>
      </c>
      <c r="E58" s="11"/>
      <c r="F58" s="15" t="str">
        <f>IFERROR(VLOOKUP(A58,'Asset Class Tables and Dropdown'!$A$87:$E$95,4,FALSE),"")</f>
        <v/>
      </c>
      <c r="G58" s="12" t="str">
        <f>IFERROR(VLOOKUP(A58,'Asset Class Tables and Dropdown'!$A$87:$E$95,5,FALSE),"")</f>
        <v/>
      </c>
      <c r="H58" s="77">
        <f>IF(A58=0,0,1)</f>
        <v>0</v>
      </c>
      <c r="J58" s="2" t="str">
        <f t="shared" si="2"/>
        <v/>
      </c>
      <c r="L58" s="10"/>
      <c r="M58" s="10">
        <f>B58</f>
        <v>0</v>
      </c>
      <c r="N58" s="10"/>
      <c r="O58" s="10"/>
      <c r="P58" s="10"/>
      <c r="Q58" s="10"/>
      <c r="R58" s="10"/>
      <c r="S58" s="10"/>
    </row>
    <row r="59" spans="1:19">
      <c r="B59" s="10"/>
      <c r="C59" s="76" t="str">
        <f>IFERROR(VLOOKUP(A59,'Asset Class Tables and Dropdown'!$A$87:$E$95,3,FALSE),"")</f>
        <v/>
      </c>
      <c r="D59" s="10" t="str">
        <f>IFERROR(IF(B59*C59&gt;0,B59*C59,""),"")</f>
        <v/>
      </c>
      <c r="E59" s="11"/>
      <c r="F59" s="15" t="str">
        <f>IFERROR(VLOOKUP(A59,'Asset Class Tables and Dropdown'!$A$87:$E$95,4,FALSE),"")</f>
        <v/>
      </c>
      <c r="G59" s="12" t="str">
        <f>IFERROR(VLOOKUP(A59,'Asset Class Tables and Dropdown'!$A$87:$E$95,5,FALSE),"")</f>
        <v/>
      </c>
      <c r="H59" s="77">
        <f>IF(A59=0,0,1)</f>
        <v>0</v>
      </c>
      <c r="J59" s="2" t="str">
        <f t="shared" si="2"/>
        <v/>
      </c>
      <c r="L59" s="10"/>
      <c r="M59" s="10"/>
      <c r="N59" s="10"/>
      <c r="O59" s="10"/>
      <c r="P59" s="10"/>
      <c r="Q59" s="10"/>
      <c r="R59" s="10"/>
      <c r="S59" s="10"/>
    </row>
    <row r="60" spans="1:19">
      <c r="B60" s="10"/>
      <c r="C60" s="76" t="str">
        <f>IFERROR(VLOOKUP(A60,'Asset Class Tables and Dropdown'!$A$87:$E$95,3,FALSE),"")</f>
        <v/>
      </c>
      <c r="D60" s="10" t="str">
        <f>IFERROR(IF(B60*C60&gt;0,B60*C60,""),"")</f>
        <v/>
      </c>
      <c r="E60" s="11"/>
      <c r="F60" s="15" t="str">
        <f>IFERROR(VLOOKUP(A60,'Asset Class Tables and Dropdown'!$A$87:$E$95,4,FALSE),"")</f>
        <v/>
      </c>
      <c r="G60" s="12" t="str">
        <f>IFERROR(VLOOKUP(A60,'Asset Class Tables and Dropdown'!$A$87:$E$95,5,FALSE),"")</f>
        <v/>
      </c>
      <c r="H60" s="77">
        <f>IF(A60=0,0,1)</f>
        <v>0</v>
      </c>
      <c r="J60" s="2" t="str">
        <f t="shared" si="2"/>
        <v/>
      </c>
      <c r="L60" s="10"/>
      <c r="M60" s="10"/>
      <c r="N60" s="10"/>
      <c r="O60" s="10"/>
      <c r="P60" s="10"/>
      <c r="Q60" s="10"/>
      <c r="R60" s="10"/>
      <c r="S60" s="10"/>
    </row>
    <row r="61" spans="1:19">
      <c r="B61" s="10"/>
      <c r="C61" s="76" t="str">
        <f>IFERROR(VLOOKUP(A61,'Asset Class Tables and Dropdown'!$A$87:$E$95,3,FALSE),"")</f>
        <v/>
      </c>
      <c r="D61" s="10" t="str">
        <f>IFERROR(IF(B61*C61&gt;0,B61*C61,""),"")</f>
        <v/>
      </c>
      <c r="E61" s="11"/>
      <c r="F61" s="15" t="str">
        <f>IFERROR(VLOOKUP(A61,'Asset Class Tables and Dropdown'!$A$87:$E$95,4,FALSE),"")</f>
        <v/>
      </c>
      <c r="G61" s="12" t="str">
        <f>IFERROR(VLOOKUP(A61,'Asset Class Tables and Dropdown'!$A$87:$E$95,5,FALSE),"")</f>
        <v/>
      </c>
      <c r="H61" s="77">
        <f>IF(A61=0,0,1)</f>
        <v>0</v>
      </c>
      <c r="J61" s="2" t="str">
        <f t="shared" si="2"/>
        <v/>
      </c>
      <c r="L61" s="10"/>
      <c r="M61" s="10"/>
      <c r="N61" s="10"/>
      <c r="O61" s="10"/>
      <c r="P61" s="10"/>
      <c r="Q61" s="10"/>
      <c r="R61" s="10"/>
      <c r="S61" s="10"/>
    </row>
    <row r="62" spans="1:19">
      <c r="A62" s="21" t="s">
        <v>40</v>
      </c>
      <c r="B62" s="22">
        <f>SUM(B57:B61)</f>
        <v>0</v>
      </c>
      <c r="C62" s="22"/>
      <c r="D62" s="22">
        <f>SUM(D57:D61)</f>
        <v>0</v>
      </c>
      <c r="E62" s="23"/>
      <c r="F62" s="24"/>
      <c r="G62" s="64"/>
      <c r="H62" s="73">
        <f>IF(A57=0,0,1)</f>
        <v>0</v>
      </c>
      <c r="J62" s="2" t="str">
        <f t="shared" si="2"/>
        <v/>
      </c>
      <c r="L62" s="10"/>
      <c r="M62" s="10"/>
      <c r="N62" s="10"/>
      <c r="O62" s="10"/>
      <c r="P62" s="10"/>
      <c r="Q62" s="10"/>
      <c r="R62" s="10"/>
      <c r="S62" s="10"/>
    </row>
    <row r="63" spans="1:19">
      <c r="B63" s="10"/>
      <c r="C63" s="13"/>
      <c r="D63" s="11" t="str">
        <f t="shared" ref="D63:D82" si="7">IFERROR(IF(B63*C63&gt;0,B63*C63,""),"")</f>
        <v/>
      </c>
      <c r="E63" s="11"/>
      <c r="G63" s="12" t="str">
        <f>IFERROR(VLOOKUP(A63,'Asset Class Tables and Dropdown'!$A$4:$E$21,5,FALSE),"")</f>
        <v/>
      </c>
      <c r="H63" s="73">
        <f>IF(A57=0,0,1)</f>
        <v>0</v>
      </c>
      <c r="J63" s="2" t="str">
        <f t="shared" si="2"/>
        <v/>
      </c>
      <c r="L63" s="10"/>
      <c r="M63" s="10"/>
      <c r="N63" s="10"/>
      <c r="O63" s="10"/>
      <c r="P63" s="10"/>
      <c r="Q63" s="10"/>
      <c r="R63" s="10"/>
      <c r="S63" s="10"/>
    </row>
    <row r="64" spans="1:19">
      <c r="A64" s="7" t="s">
        <v>46</v>
      </c>
      <c r="B64" s="10"/>
      <c r="C64" s="13"/>
      <c r="D64" s="11" t="str">
        <f t="shared" si="7"/>
        <v/>
      </c>
      <c r="E64" s="11"/>
      <c r="H64" s="73">
        <f>IF(A65=0,0,1)</f>
        <v>0</v>
      </c>
      <c r="J64" s="2" t="str">
        <f t="shared" si="2"/>
        <v>PUBLIC EQUITY</v>
      </c>
      <c r="L64" s="10"/>
      <c r="M64" s="10"/>
      <c r="N64" s="10"/>
      <c r="O64" s="10"/>
      <c r="P64" s="10"/>
      <c r="Q64" s="10"/>
      <c r="R64" s="10"/>
      <c r="S64" s="10"/>
    </row>
    <row r="65" spans="2:19">
      <c r="B65" s="10"/>
      <c r="C65" s="13" t="str">
        <f>IFERROR(VLOOKUP(A65,'Asset Class Tables and Dropdown'!$A$99:$E$143,3,FALSE),"")</f>
        <v/>
      </c>
      <c r="D65" s="11" t="str">
        <f t="shared" si="7"/>
        <v/>
      </c>
      <c r="E65" s="11"/>
      <c r="F65" s="15" t="str">
        <f>IFERROR(VLOOKUP(A65,'Asset Class Tables and Dropdown'!$A$99:$E$143,4,FALSE),"")</f>
        <v/>
      </c>
      <c r="G65" s="15" t="str">
        <f>IFERROR(VLOOKUP(A65,'Asset Class Tables and Dropdown'!$A$99:$E$143,5,FALSE),"")</f>
        <v/>
      </c>
      <c r="H65" s="65">
        <f>IF(A65=0,0,1)</f>
        <v>0</v>
      </c>
      <c r="J65" s="2" t="str">
        <f t="shared" si="2"/>
        <v/>
      </c>
      <c r="L65" s="10"/>
      <c r="M65" s="10">
        <f>B65</f>
        <v>0</v>
      </c>
      <c r="N65" s="10"/>
      <c r="O65" s="10"/>
      <c r="P65" s="10"/>
      <c r="Q65" s="10"/>
      <c r="R65" s="10"/>
      <c r="S65" s="10"/>
    </row>
    <row r="66" spans="2:19">
      <c r="B66" s="10"/>
      <c r="C66" s="13" t="str">
        <f>IFERROR(VLOOKUP(A66,'Asset Class Tables and Dropdown'!$A$99:$E$143,3,FALSE),"")</f>
        <v/>
      </c>
      <c r="D66" s="11" t="str">
        <f t="shared" si="7"/>
        <v/>
      </c>
      <c r="E66" s="11"/>
      <c r="F66" s="15" t="str">
        <f>IFERROR(VLOOKUP(A66,'Asset Class Tables and Dropdown'!$A$99:$E$143,4,FALSE),"")</f>
        <v/>
      </c>
      <c r="G66" s="15" t="str">
        <f>IFERROR(VLOOKUP(A66,'Asset Class Tables and Dropdown'!$A$99:$E$143,5,FALSE),"")</f>
        <v/>
      </c>
      <c r="H66" s="65">
        <f t="shared" ref="H66:H82" si="8">IF(A66=0,0,1)</f>
        <v>0</v>
      </c>
      <c r="J66" s="2" t="str">
        <f t="shared" si="2"/>
        <v/>
      </c>
      <c r="L66" s="10"/>
      <c r="M66" s="10">
        <f>B66</f>
        <v>0</v>
      </c>
      <c r="N66" s="10"/>
      <c r="O66" s="10"/>
      <c r="P66" s="10"/>
      <c r="Q66" s="10"/>
      <c r="R66" s="10"/>
      <c r="S66" s="10"/>
    </row>
    <row r="67" spans="2:19">
      <c r="B67" s="10"/>
      <c r="C67" s="13" t="str">
        <f>IFERROR(VLOOKUP(A67,'Asset Class Tables and Dropdown'!$A$99:$E$143,3,FALSE),"")</f>
        <v/>
      </c>
      <c r="D67" s="11" t="str">
        <f t="shared" si="7"/>
        <v/>
      </c>
      <c r="E67" s="11"/>
      <c r="F67" s="15" t="str">
        <f>IFERROR(VLOOKUP(A67,'Asset Class Tables and Dropdown'!$A$99:$E$143,4,FALSE),"")</f>
        <v/>
      </c>
      <c r="G67" s="15" t="str">
        <f>IFERROR(VLOOKUP(A67,'Asset Class Tables and Dropdown'!$A$99:$E$143,5,FALSE),"")</f>
        <v/>
      </c>
      <c r="H67" s="65">
        <f t="shared" si="8"/>
        <v>0</v>
      </c>
      <c r="J67" s="2" t="str">
        <f t="shared" si="2"/>
        <v/>
      </c>
      <c r="L67" s="10"/>
      <c r="M67" s="10"/>
      <c r="N67" s="10"/>
      <c r="O67" s="10"/>
      <c r="P67" s="10"/>
      <c r="Q67" s="10"/>
      <c r="R67" s="10"/>
      <c r="S67" s="10"/>
    </row>
    <row r="68" spans="2:19">
      <c r="B68" s="10"/>
      <c r="C68" s="13" t="str">
        <f>IFERROR(VLOOKUP(A68,'Asset Class Tables and Dropdown'!$A$99:$E$143,3,FALSE),"")</f>
        <v/>
      </c>
      <c r="D68" s="11" t="str">
        <f t="shared" si="7"/>
        <v/>
      </c>
      <c r="E68" s="11"/>
      <c r="F68" s="15" t="str">
        <f>IFERROR(VLOOKUP(A68,'Asset Class Tables and Dropdown'!$A$99:$E$143,4,FALSE),"")</f>
        <v/>
      </c>
      <c r="G68" s="15" t="str">
        <f>IFERROR(VLOOKUP(A68,'Asset Class Tables and Dropdown'!$A$99:$E$143,5,FALSE),"")</f>
        <v/>
      </c>
      <c r="H68" s="65">
        <f t="shared" si="8"/>
        <v>0</v>
      </c>
      <c r="J68" s="2" t="str">
        <f t="shared" si="2"/>
        <v/>
      </c>
      <c r="L68" s="10"/>
      <c r="M68" s="10"/>
      <c r="N68" s="10"/>
      <c r="O68" s="10"/>
      <c r="P68" s="10"/>
      <c r="Q68" s="10"/>
      <c r="R68" s="10"/>
      <c r="S68" s="10"/>
    </row>
    <row r="69" spans="2:19">
      <c r="B69" s="10"/>
      <c r="C69" s="13" t="str">
        <f>IFERROR(VLOOKUP(A69,'Asset Class Tables and Dropdown'!$A$99:$E$143,3,FALSE),"")</f>
        <v/>
      </c>
      <c r="D69" s="11" t="str">
        <f t="shared" si="7"/>
        <v/>
      </c>
      <c r="E69" s="11"/>
      <c r="F69" s="15" t="str">
        <f>IFERROR(VLOOKUP(A69,'Asset Class Tables and Dropdown'!$A$99:$E$143,4,FALSE),"")</f>
        <v/>
      </c>
      <c r="G69" s="15" t="str">
        <f>IFERROR(VLOOKUP(A69,'Asset Class Tables and Dropdown'!$A$99:$E$143,5,FALSE),"")</f>
        <v/>
      </c>
      <c r="H69" s="65">
        <f t="shared" si="8"/>
        <v>0</v>
      </c>
      <c r="J69" s="2" t="str">
        <f t="shared" si="2"/>
        <v/>
      </c>
      <c r="L69" s="10"/>
      <c r="M69" s="10"/>
      <c r="N69" s="10"/>
      <c r="O69" s="10"/>
      <c r="P69" s="10"/>
      <c r="Q69" s="10"/>
      <c r="R69" s="10"/>
      <c r="S69" s="10"/>
    </row>
    <row r="70" spans="2:19">
      <c r="B70" s="10"/>
      <c r="C70" s="13" t="str">
        <f>IFERROR(VLOOKUP(A70,'Asset Class Tables and Dropdown'!$A$99:$E$143,3,FALSE),"")</f>
        <v/>
      </c>
      <c r="D70" s="11" t="str">
        <f t="shared" si="7"/>
        <v/>
      </c>
      <c r="E70" s="11"/>
      <c r="F70" s="15" t="str">
        <f>IFERROR(VLOOKUP(A70,'Asset Class Tables and Dropdown'!$A$99:$E$143,4,FALSE),"")</f>
        <v/>
      </c>
      <c r="G70" s="15" t="str">
        <f>IFERROR(VLOOKUP(A70,'Asset Class Tables and Dropdown'!$A$99:$E$143,5,FALSE),"")</f>
        <v/>
      </c>
      <c r="H70" s="65">
        <f t="shared" si="8"/>
        <v>0</v>
      </c>
      <c r="J70" s="2" t="str">
        <f t="shared" si="2"/>
        <v/>
      </c>
      <c r="L70" s="10"/>
      <c r="M70" s="10"/>
      <c r="N70" s="10"/>
      <c r="O70" s="10"/>
      <c r="P70" s="10"/>
      <c r="Q70" s="10"/>
      <c r="R70" s="10"/>
      <c r="S70" s="10"/>
    </row>
    <row r="71" spans="2:19">
      <c r="B71" s="10"/>
      <c r="C71" s="13" t="str">
        <f>IFERROR(VLOOKUP(A71,'Asset Class Tables and Dropdown'!$A$99:$E$143,3,FALSE),"")</f>
        <v/>
      </c>
      <c r="D71" s="11" t="str">
        <f t="shared" si="7"/>
        <v/>
      </c>
      <c r="E71" s="11"/>
      <c r="F71" s="15" t="str">
        <f>IFERROR(VLOOKUP(A71,'Asset Class Tables and Dropdown'!$A$99:$E$143,4,FALSE),"")</f>
        <v/>
      </c>
      <c r="G71" s="15" t="str">
        <f>IFERROR(VLOOKUP(A71,'Asset Class Tables and Dropdown'!$A$99:$E$143,5,FALSE),"")</f>
        <v/>
      </c>
      <c r="H71" s="65">
        <f t="shared" si="8"/>
        <v>0</v>
      </c>
      <c r="J71" s="2" t="str">
        <f t="shared" si="2"/>
        <v/>
      </c>
      <c r="L71" s="10"/>
      <c r="M71" s="10"/>
      <c r="N71" s="10"/>
      <c r="O71" s="10"/>
      <c r="P71" s="10"/>
      <c r="Q71" s="10"/>
      <c r="R71" s="10"/>
      <c r="S71" s="10"/>
    </row>
    <row r="72" spans="2:19">
      <c r="B72" s="10"/>
      <c r="C72" s="13" t="str">
        <f>IFERROR(VLOOKUP(A72,'Asset Class Tables and Dropdown'!$A$99:$E$143,3,FALSE),"")</f>
        <v/>
      </c>
      <c r="D72" s="11" t="str">
        <f t="shared" si="7"/>
        <v/>
      </c>
      <c r="E72" s="11"/>
      <c r="F72" s="15" t="str">
        <f>IFERROR(VLOOKUP(A72,'Asset Class Tables and Dropdown'!$A$99:$E$143,4,FALSE),"")</f>
        <v/>
      </c>
      <c r="G72" s="15" t="str">
        <f>IFERROR(VLOOKUP(A72,'Asset Class Tables and Dropdown'!$A$99:$E$143,5,FALSE),"")</f>
        <v/>
      </c>
      <c r="H72" s="65">
        <f t="shared" si="8"/>
        <v>0</v>
      </c>
      <c r="J72" s="2" t="str">
        <f t="shared" si="2"/>
        <v/>
      </c>
      <c r="L72" s="10"/>
      <c r="M72" s="10"/>
      <c r="N72" s="10"/>
      <c r="O72" s="10"/>
      <c r="P72" s="10"/>
      <c r="Q72" s="10"/>
      <c r="R72" s="10"/>
      <c r="S72" s="10"/>
    </row>
    <row r="73" spans="2:19">
      <c r="B73" s="10"/>
      <c r="C73" s="13" t="str">
        <f>IFERROR(VLOOKUP(A73,'Asset Class Tables and Dropdown'!$A$99:$E$143,3,FALSE),"")</f>
        <v/>
      </c>
      <c r="D73" s="11" t="str">
        <f t="shared" si="7"/>
        <v/>
      </c>
      <c r="E73" s="11"/>
      <c r="F73" s="15" t="str">
        <f>IFERROR(VLOOKUP(A73,'Asset Class Tables and Dropdown'!$A$99:$E$143,4,FALSE),"")</f>
        <v/>
      </c>
      <c r="G73" s="15" t="str">
        <f>IFERROR(VLOOKUP(A73,'Asset Class Tables and Dropdown'!$A$99:$E$143,5,FALSE),"")</f>
        <v/>
      </c>
      <c r="H73" s="65">
        <f t="shared" si="8"/>
        <v>0</v>
      </c>
      <c r="J73" s="2" t="str">
        <f t="shared" si="2"/>
        <v/>
      </c>
      <c r="L73" s="10"/>
      <c r="M73" s="10"/>
      <c r="N73" s="10"/>
      <c r="O73" s="10"/>
      <c r="P73" s="10"/>
      <c r="Q73" s="10"/>
      <c r="R73" s="10"/>
      <c r="S73" s="10"/>
    </row>
    <row r="74" spans="2:19">
      <c r="B74" s="10"/>
      <c r="C74" s="13" t="str">
        <f>IFERROR(VLOOKUP(A74,'Asset Class Tables and Dropdown'!$A$99:$E$143,3,FALSE),"")</f>
        <v/>
      </c>
      <c r="D74" s="11" t="str">
        <f t="shared" si="7"/>
        <v/>
      </c>
      <c r="E74" s="11"/>
      <c r="F74" s="15" t="str">
        <f>IFERROR(VLOOKUP(A74,'Asset Class Tables and Dropdown'!$A$99:$E$143,4,FALSE),"")</f>
        <v/>
      </c>
      <c r="G74" s="15" t="str">
        <f>IFERROR(VLOOKUP(A74,'Asset Class Tables and Dropdown'!$A$99:$E$143,5,FALSE),"")</f>
        <v/>
      </c>
      <c r="H74" s="65">
        <f t="shared" si="8"/>
        <v>0</v>
      </c>
      <c r="J74" s="2" t="str">
        <f t="shared" si="2"/>
        <v/>
      </c>
      <c r="L74" s="10"/>
      <c r="M74" s="10"/>
      <c r="N74" s="10"/>
      <c r="O74" s="10"/>
      <c r="P74" s="10"/>
      <c r="Q74" s="10"/>
      <c r="R74" s="10"/>
      <c r="S74" s="10"/>
    </row>
    <row r="75" spans="2:19">
      <c r="B75" s="10"/>
      <c r="C75" s="13" t="str">
        <f>IFERROR(VLOOKUP(A75,'Asset Class Tables and Dropdown'!$A$99:$E$143,3,FALSE),"")</f>
        <v/>
      </c>
      <c r="D75" s="11" t="str">
        <f t="shared" si="7"/>
        <v/>
      </c>
      <c r="E75" s="11"/>
      <c r="F75" s="15" t="str">
        <f>IFERROR(VLOOKUP(A75,'Asset Class Tables and Dropdown'!$A$99:$E$143,4,FALSE),"")</f>
        <v/>
      </c>
      <c r="G75" s="15" t="str">
        <f>IFERROR(VLOOKUP(A75,'Asset Class Tables and Dropdown'!$A$99:$E$143,5,FALSE),"")</f>
        <v/>
      </c>
      <c r="H75" s="65">
        <f t="shared" si="8"/>
        <v>0</v>
      </c>
      <c r="J75" s="2" t="str">
        <f t="shared" si="2"/>
        <v/>
      </c>
      <c r="L75" s="10"/>
      <c r="M75" s="10"/>
      <c r="N75" s="10"/>
      <c r="O75" s="10"/>
      <c r="P75" s="10"/>
      <c r="Q75" s="10"/>
      <c r="R75" s="10"/>
      <c r="S75" s="10"/>
    </row>
    <row r="76" spans="2:19">
      <c r="B76" s="10"/>
      <c r="C76" s="13" t="str">
        <f>IFERROR(VLOOKUP(A76,'Asset Class Tables and Dropdown'!$A$99:$E$143,3,FALSE),"")</f>
        <v/>
      </c>
      <c r="D76" s="11" t="str">
        <f t="shared" si="7"/>
        <v/>
      </c>
      <c r="E76" s="11"/>
      <c r="F76" s="15" t="str">
        <f>IFERROR(VLOOKUP(A76,'Asset Class Tables and Dropdown'!$A$99:$E$143,4,FALSE),"")</f>
        <v/>
      </c>
      <c r="G76" s="15" t="str">
        <f>IFERROR(VLOOKUP(A76,'Asset Class Tables and Dropdown'!$A$99:$E$143,5,FALSE),"")</f>
        <v/>
      </c>
      <c r="H76" s="65">
        <f t="shared" si="8"/>
        <v>0</v>
      </c>
      <c r="J76" s="2" t="str">
        <f t="shared" si="2"/>
        <v/>
      </c>
      <c r="L76" s="10"/>
      <c r="M76" s="10"/>
      <c r="N76" s="10"/>
      <c r="O76" s="10"/>
      <c r="P76" s="10"/>
      <c r="Q76" s="10"/>
      <c r="R76" s="10"/>
      <c r="S76" s="10"/>
    </row>
    <row r="77" spans="2:19">
      <c r="B77" s="10"/>
      <c r="C77" s="13" t="str">
        <f>IFERROR(VLOOKUP(A77,'Asset Class Tables and Dropdown'!$A$99:$E$143,3,FALSE),"")</f>
        <v/>
      </c>
      <c r="D77" s="11" t="str">
        <f t="shared" si="7"/>
        <v/>
      </c>
      <c r="E77" s="11"/>
      <c r="F77" s="15" t="str">
        <f>IFERROR(VLOOKUP(A77,'Asset Class Tables and Dropdown'!$A$99:$E$143,4,FALSE),"")</f>
        <v/>
      </c>
      <c r="G77" s="15" t="str">
        <f>IFERROR(VLOOKUP(A77,'Asset Class Tables and Dropdown'!$A$99:$E$143,5,FALSE),"")</f>
        <v/>
      </c>
      <c r="H77" s="65">
        <f t="shared" si="8"/>
        <v>0</v>
      </c>
      <c r="J77" s="2" t="str">
        <f t="shared" si="2"/>
        <v/>
      </c>
      <c r="L77" s="10"/>
      <c r="M77" s="10"/>
      <c r="N77" s="10"/>
      <c r="O77" s="10"/>
      <c r="P77" s="10"/>
      <c r="Q77" s="10"/>
      <c r="R77" s="10"/>
      <c r="S77" s="10"/>
    </row>
    <row r="78" spans="2:19">
      <c r="B78" s="10"/>
      <c r="C78" s="13" t="str">
        <f>IFERROR(VLOOKUP(A78,'Asset Class Tables and Dropdown'!$A$99:$E$143,3,FALSE),"")</f>
        <v/>
      </c>
      <c r="D78" s="11" t="str">
        <f t="shared" si="7"/>
        <v/>
      </c>
      <c r="E78" s="11"/>
      <c r="F78" s="15" t="str">
        <f>IFERROR(VLOOKUP(A78,'Asset Class Tables and Dropdown'!$A$99:$E$143,4,FALSE),"")</f>
        <v/>
      </c>
      <c r="G78" s="15" t="str">
        <f>IFERROR(VLOOKUP(A78,'Asset Class Tables and Dropdown'!$A$99:$E$143,5,FALSE),"")</f>
        <v/>
      </c>
      <c r="H78" s="65">
        <f t="shared" si="8"/>
        <v>0</v>
      </c>
      <c r="J78" s="2" t="str">
        <f t="shared" si="2"/>
        <v/>
      </c>
      <c r="L78" s="10"/>
      <c r="M78" s="10"/>
      <c r="N78" s="10"/>
      <c r="O78" s="10"/>
      <c r="P78" s="10"/>
      <c r="Q78" s="10"/>
      <c r="R78" s="10"/>
      <c r="S78" s="10"/>
    </row>
    <row r="79" spans="2:19">
      <c r="B79" s="10"/>
      <c r="C79" s="13" t="str">
        <f>IFERROR(VLOOKUP(A79,'Asset Class Tables and Dropdown'!$A$99:$E$143,3,FALSE),"")</f>
        <v/>
      </c>
      <c r="D79" s="11" t="str">
        <f t="shared" si="7"/>
        <v/>
      </c>
      <c r="E79" s="11"/>
      <c r="F79" s="15" t="str">
        <f>IFERROR(VLOOKUP(A79,'Asset Class Tables and Dropdown'!$A$99:$E$143,4,FALSE),"")</f>
        <v/>
      </c>
      <c r="G79" s="15" t="str">
        <f>IFERROR(VLOOKUP(A79,'Asset Class Tables and Dropdown'!$A$99:$E$143,5,FALSE),"")</f>
        <v/>
      </c>
      <c r="H79" s="65">
        <f t="shared" si="8"/>
        <v>0</v>
      </c>
      <c r="J79" s="2" t="str">
        <f t="shared" si="2"/>
        <v/>
      </c>
      <c r="L79" s="10"/>
      <c r="M79" s="10"/>
      <c r="N79" s="10"/>
      <c r="O79" s="10"/>
      <c r="P79" s="10"/>
      <c r="Q79" s="10"/>
      <c r="R79" s="10"/>
      <c r="S79" s="10"/>
    </row>
    <row r="80" spans="2:19">
      <c r="B80" s="10"/>
      <c r="C80" s="13" t="str">
        <f>IFERROR(VLOOKUP(A80,'Asset Class Tables and Dropdown'!$A$99:$E$143,3,FALSE),"")</f>
        <v/>
      </c>
      <c r="D80" s="11" t="str">
        <f t="shared" si="7"/>
        <v/>
      </c>
      <c r="E80" s="11"/>
      <c r="F80" s="15" t="str">
        <f>IFERROR(VLOOKUP(A80,'Asset Class Tables and Dropdown'!$A$99:$E$143,4,FALSE),"")</f>
        <v/>
      </c>
      <c r="G80" s="15" t="str">
        <f>IFERROR(VLOOKUP(A80,'Asset Class Tables and Dropdown'!$A$99:$E$143,5,FALSE),"")</f>
        <v/>
      </c>
      <c r="H80" s="65">
        <f t="shared" si="8"/>
        <v>0</v>
      </c>
      <c r="J80" s="2" t="str">
        <f t="shared" si="2"/>
        <v/>
      </c>
      <c r="L80" s="10"/>
      <c r="M80" s="10"/>
      <c r="N80" s="10"/>
      <c r="O80" s="10"/>
      <c r="P80" s="10"/>
      <c r="Q80" s="10"/>
      <c r="R80" s="10"/>
      <c r="S80" s="10"/>
    </row>
    <row r="81" spans="1:20">
      <c r="B81" s="10"/>
      <c r="C81" s="13" t="str">
        <f>IFERROR(VLOOKUP(A81,'Asset Class Tables and Dropdown'!$A$99:$E$143,3,FALSE),"")</f>
        <v/>
      </c>
      <c r="D81" s="11" t="str">
        <f t="shared" si="7"/>
        <v/>
      </c>
      <c r="E81" s="11"/>
      <c r="F81" s="15" t="str">
        <f>IFERROR(VLOOKUP(A81,'Asset Class Tables and Dropdown'!$A$99:$E$143,4,FALSE),"")</f>
        <v/>
      </c>
      <c r="G81" s="15" t="str">
        <f>IFERROR(VLOOKUP(A81,'Asset Class Tables and Dropdown'!$A$99:$E$143,5,FALSE),"")</f>
        <v/>
      </c>
      <c r="H81" s="65">
        <f t="shared" si="8"/>
        <v>0</v>
      </c>
      <c r="J81" s="2" t="str">
        <f t="shared" ref="J81:J91" si="9">IF(A81="Total","",IF(A81="","",A81))</f>
        <v/>
      </c>
      <c r="L81" s="10"/>
      <c r="M81" s="10"/>
      <c r="N81" s="10"/>
      <c r="O81" s="10"/>
      <c r="P81" s="10"/>
      <c r="Q81" s="10"/>
      <c r="R81" s="10"/>
      <c r="S81" s="10"/>
    </row>
    <row r="82" spans="1:20">
      <c r="B82" s="10"/>
      <c r="C82" s="13" t="str">
        <f>IFERROR(VLOOKUP(A82,'Asset Class Tables and Dropdown'!$A$99:$E$143,3,FALSE),"")</f>
        <v/>
      </c>
      <c r="D82" s="11" t="str">
        <f t="shared" si="7"/>
        <v/>
      </c>
      <c r="E82" s="11"/>
      <c r="F82" s="15" t="str">
        <f>IFERROR(VLOOKUP(A82,'Asset Class Tables and Dropdown'!$A$99:$E$143,4,FALSE),"")</f>
        <v/>
      </c>
      <c r="G82" s="15" t="str">
        <f>IFERROR(VLOOKUP(A82,'Asset Class Tables and Dropdown'!$A$99:$E$143,5,FALSE),"")</f>
        <v/>
      </c>
      <c r="H82" s="65">
        <f t="shared" si="8"/>
        <v>0</v>
      </c>
      <c r="J82" s="2" t="str">
        <f t="shared" si="9"/>
        <v/>
      </c>
      <c r="L82" s="10"/>
      <c r="M82" s="10"/>
      <c r="N82" s="10"/>
      <c r="O82" s="10"/>
      <c r="P82" s="10"/>
      <c r="Q82" s="10"/>
      <c r="R82" s="10"/>
      <c r="S82" s="10"/>
    </row>
    <row r="83" spans="1:20">
      <c r="A83" s="21" t="s">
        <v>40</v>
      </c>
      <c r="B83" s="22">
        <f>SUM(B65:B82)</f>
        <v>0</v>
      </c>
      <c r="C83" s="22"/>
      <c r="D83" s="22">
        <f>SUM(D65:D82)</f>
        <v>0</v>
      </c>
      <c r="E83" s="23"/>
      <c r="F83" s="24"/>
      <c r="G83" s="24"/>
      <c r="H83" s="73">
        <f>IF(A65=0,0,1)</f>
        <v>0</v>
      </c>
      <c r="J83" s="2" t="str">
        <f t="shared" si="9"/>
        <v/>
      </c>
      <c r="L83" s="10"/>
      <c r="M83" s="10"/>
      <c r="N83" s="10"/>
      <c r="O83" s="10"/>
      <c r="P83" s="10"/>
      <c r="Q83" s="10"/>
      <c r="R83" s="10"/>
      <c r="S83" s="10"/>
    </row>
    <row r="84" spans="1:20">
      <c r="B84" s="10"/>
      <c r="C84" s="13"/>
      <c r="D84" s="11" t="str">
        <f>IFERROR(IF(B84*C84&gt;0,B84*C84,""),"")</f>
        <v/>
      </c>
      <c r="E84" s="11"/>
      <c r="G84" s="15"/>
      <c r="H84" s="73">
        <f>IF(A86=0,0,1)</f>
        <v>0</v>
      </c>
      <c r="J84" s="2" t="str">
        <f t="shared" si="9"/>
        <v/>
      </c>
      <c r="L84" s="10"/>
      <c r="M84" s="10"/>
      <c r="N84" s="10"/>
      <c r="O84" s="10"/>
      <c r="P84" s="10"/>
      <c r="Q84" s="10"/>
      <c r="R84" s="10"/>
      <c r="S84" s="10"/>
    </row>
    <row r="85" spans="1:20">
      <c r="A85" s="7" t="s">
        <v>47</v>
      </c>
      <c r="B85" s="10"/>
      <c r="C85" s="13"/>
      <c r="D85" s="11" t="str">
        <f>IFERROR(IF(B85*C85&gt;0,B85*C85,""),"")</f>
        <v/>
      </c>
      <c r="E85" s="11"/>
      <c r="G85" s="15"/>
      <c r="H85" s="65">
        <f>IF(A86=0,0,1)</f>
        <v>0</v>
      </c>
      <c r="J85" s="2" t="str">
        <f t="shared" si="9"/>
        <v>OTHER</v>
      </c>
      <c r="L85" s="10"/>
      <c r="M85" s="10"/>
      <c r="N85" s="10"/>
      <c r="O85" s="10"/>
      <c r="P85" s="10"/>
      <c r="Q85" s="10"/>
      <c r="R85" s="10"/>
      <c r="S85" s="10"/>
    </row>
    <row r="86" spans="1:20">
      <c r="B86" s="10"/>
      <c r="C86" s="13"/>
      <c r="D86" s="11" t="str">
        <f>IFERROR(IF(B86*C86&gt;0,B86*C86,""),"")</f>
        <v/>
      </c>
      <c r="E86" s="11"/>
      <c r="G86" s="15"/>
      <c r="H86" s="2">
        <f>IF(A86="",0,1)</f>
        <v>0</v>
      </c>
      <c r="J86" s="2" t="str">
        <f t="shared" si="9"/>
        <v/>
      </c>
      <c r="L86" s="10"/>
      <c r="M86" s="10"/>
      <c r="N86" s="10"/>
      <c r="O86" s="10"/>
      <c r="P86" s="10"/>
      <c r="Q86" s="10"/>
      <c r="R86" s="10"/>
      <c r="S86" s="10"/>
    </row>
    <row r="87" spans="1:20">
      <c r="B87" s="10"/>
      <c r="C87" s="13"/>
      <c r="D87" s="11" t="str">
        <f>IFERROR(IF(B87*C87&gt;0,B87*C87,""),"")</f>
        <v/>
      </c>
      <c r="E87" s="11"/>
      <c r="G87" s="15"/>
      <c r="H87" s="2">
        <f>IF(A87="",0,1)</f>
        <v>0</v>
      </c>
      <c r="J87" s="2" t="str">
        <f t="shared" si="9"/>
        <v/>
      </c>
      <c r="L87" s="10"/>
      <c r="M87" s="10"/>
      <c r="N87" s="10"/>
      <c r="O87" s="10"/>
      <c r="P87" s="10"/>
      <c r="Q87" s="10"/>
      <c r="R87" s="10"/>
      <c r="S87" s="10"/>
    </row>
    <row r="88" spans="1:20">
      <c r="B88" s="10"/>
      <c r="C88" s="13"/>
      <c r="D88" s="11"/>
      <c r="E88" s="11"/>
      <c r="G88" s="15"/>
      <c r="H88" s="2">
        <f>IF(A88="",0,1)</f>
        <v>0</v>
      </c>
      <c r="J88" s="2" t="str">
        <f t="shared" si="9"/>
        <v/>
      </c>
      <c r="L88" s="10"/>
      <c r="M88" s="10"/>
      <c r="N88" s="10"/>
      <c r="O88" s="10"/>
      <c r="P88" s="10"/>
      <c r="Q88" s="10"/>
      <c r="R88" s="10"/>
      <c r="S88" s="10"/>
    </row>
    <row r="89" spans="1:20">
      <c r="A89" s="21" t="s">
        <v>40</v>
      </c>
      <c r="B89" s="22">
        <f>SUM(B86:B88)</f>
        <v>0</v>
      </c>
      <c r="C89" s="22"/>
      <c r="D89" s="22">
        <f>SUM(D86:D88)</f>
        <v>0</v>
      </c>
      <c r="E89" s="23"/>
      <c r="F89" s="24"/>
      <c r="G89" s="24"/>
      <c r="H89" s="73">
        <f>IF(A86=0,0,1)</f>
        <v>0</v>
      </c>
      <c r="J89" s="2" t="str">
        <f t="shared" si="9"/>
        <v/>
      </c>
      <c r="L89" s="10"/>
      <c r="M89" s="10"/>
      <c r="N89" s="10"/>
      <c r="O89" s="10"/>
      <c r="P89" s="10"/>
      <c r="Q89" s="10"/>
      <c r="R89" s="10"/>
      <c r="S89" s="10"/>
    </row>
    <row r="90" spans="1:20">
      <c r="B90" s="10"/>
      <c r="C90" s="13"/>
      <c r="D90" s="11"/>
      <c r="E90" s="11"/>
      <c r="G90" s="15"/>
      <c r="H90" s="73">
        <f>IF(A86=0,0,1)</f>
        <v>0</v>
      </c>
      <c r="J90" s="2" t="str">
        <f t="shared" si="9"/>
        <v/>
      </c>
      <c r="L90" s="10"/>
      <c r="M90" s="10"/>
      <c r="N90" s="10"/>
      <c r="O90" s="10"/>
      <c r="P90" s="10"/>
      <c r="Q90" s="10"/>
      <c r="R90" s="10"/>
      <c r="S90" s="10"/>
    </row>
    <row r="91" spans="1:20" ht="17" thickBot="1">
      <c r="A91" s="16"/>
      <c r="B91" s="17"/>
      <c r="C91" s="18"/>
      <c r="D91" s="19"/>
      <c r="E91" s="19"/>
      <c r="F91" s="20"/>
      <c r="G91" s="20"/>
      <c r="H91" s="73">
        <v>1</v>
      </c>
      <c r="J91" s="79" t="str">
        <f t="shared" si="9"/>
        <v/>
      </c>
      <c r="L91" s="10"/>
      <c r="M91" s="10"/>
      <c r="N91" s="10"/>
      <c r="O91" s="10"/>
      <c r="P91" s="10"/>
      <c r="Q91" s="10"/>
      <c r="R91" s="10"/>
      <c r="S91" s="10"/>
    </row>
    <row r="92" spans="1:20" ht="17" thickTop="1">
      <c r="A92" s="7" t="s">
        <v>48</v>
      </c>
      <c r="B92" s="43">
        <f>SUM(B23+B29+B36+B44+B54+B62+B83+B89)</f>
        <v>0</v>
      </c>
      <c r="C92" s="43"/>
      <c r="D92" s="43">
        <f>SUM(D23+D29+D36+D44+D54+D62+D83+D89)</f>
        <v>0</v>
      </c>
      <c r="E92" s="44"/>
      <c r="F92" s="45"/>
      <c r="G92" s="45"/>
      <c r="H92" s="70">
        <v>1</v>
      </c>
      <c r="K92" s="83" t="s">
        <v>40</v>
      </c>
      <c r="L92" s="82">
        <f>SUM(L12:L91)</f>
        <v>0</v>
      </c>
      <c r="M92" s="82">
        <f t="shared" ref="M92:T92" si="10">SUM(M12:M91)</f>
        <v>0</v>
      </c>
      <c r="N92" s="82">
        <f t="shared" si="10"/>
        <v>0</v>
      </c>
      <c r="O92" s="82">
        <f t="shared" si="10"/>
        <v>0</v>
      </c>
      <c r="P92" s="82">
        <f t="shared" si="10"/>
        <v>0</v>
      </c>
      <c r="Q92" s="82">
        <f t="shared" si="10"/>
        <v>0</v>
      </c>
      <c r="R92" s="82">
        <f t="shared" si="10"/>
        <v>0</v>
      </c>
      <c r="S92" s="82">
        <f t="shared" si="10"/>
        <v>0</v>
      </c>
      <c r="T92" s="82">
        <f t="shared" si="10"/>
        <v>0</v>
      </c>
    </row>
    <row r="93" spans="1:20">
      <c r="H93" s="71">
        <v>1</v>
      </c>
    </row>
    <row r="94" spans="1:20">
      <c r="A94" s="2" t="s">
        <v>49</v>
      </c>
      <c r="H94" s="71">
        <v>1</v>
      </c>
      <c r="K94" s="14" t="s">
        <v>50</v>
      </c>
      <c r="M94" s="43">
        <f>SUM(L92:R92)</f>
        <v>0</v>
      </c>
    </row>
    <row r="95" spans="1:20">
      <c r="H95" s="71">
        <v>1</v>
      </c>
    </row>
    <row r="96" spans="1:20">
      <c r="H96" s="71">
        <v>1</v>
      </c>
    </row>
    <row r="97" spans="1:8">
      <c r="A97" s="344" t="s">
        <v>51</v>
      </c>
      <c r="B97" s="344"/>
      <c r="C97" s="344"/>
      <c r="D97" s="344"/>
      <c r="E97" s="344"/>
      <c r="F97" s="344"/>
      <c r="G97" s="344"/>
      <c r="H97" s="71">
        <v>1</v>
      </c>
    </row>
    <row r="98" spans="1:8">
      <c r="A98" s="344" t="s">
        <v>52</v>
      </c>
      <c r="B98" s="344"/>
      <c r="C98" s="344"/>
      <c r="D98" s="344"/>
      <c r="E98" s="344"/>
      <c r="F98" s="344"/>
      <c r="G98" s="344"/>
      <c r="H98" s="71">
        <v>1</v>
      </c>
    </row>
    <row r="99" spans="1:8">
      <c r="H99" s="71">
        <v>1</v>
      </c>
    </row>
    <row r="100" spans="1:8">
      <c r="A100" s="344" t="s">
        <v>53</v>
      </c>
      <c r="B100" s="344"/>
      <c r="C100" s="344"/>
      <c r="D100" s="344"/>
      <c r="E100" s="344"/>
      <c r="F100" s="344"/>
      <c r="G100" s="344"/>
      <c r="H100" s="71">
        <v>1</v>
      </c>
    </row>
    <row r="101" spans="1:8">
      <c r="A101" s="344" t="s">
        <v>54</v>
      </c>
      <c r="B101" s="344"/>
      <c r="C101" s="344"/>
      <c r="D101" s="344"/>
      <c r="E101" s="344"/>
      <c r="F101" s="344"/>
      <c r="G101" s="344"/>
      <c r="H101" s="71">
        <v>1</v>
      </c>
    </row>
    <row r="102" spans="1:8">
      <c r="H102" s="71">
        <v>1</v>
      </c>
    </row>
  </sheetData>
  <protectedRanges>
    <protectedRange sqref="K10:Q94" name="Implementation"/>
    <protectedRange sqref="A26:B28 A32:B35 A39:B43 A47:B53 A65:B82 A86:B88 A57:B58 A16:B22" name="Investments and Amounts"/>
    <protectedRange sqref="A9:G11" name="Titles"/>
  </protectedRanges>
  <autoFilter ref="A9:H102" xr:uid="{D46AD3EC-B6C9-426F-90D9-832AA3082653}">
    <filterColumn colId="0" showButton="0"/>
    <filterColumn colId="1" showButton="0"/>
    <filterColumn colId="2" showButton="0"/>
    <filterColumn colId="3" showButton="0"/>
    <filterColumn colId="4" showButton="0"/>
    <filterColumn colId="5" showButton="0"/>
    <filterColumn colId="7">
      <filters>
        <filter val="1"/>
        <filter val="0"/>
      </filters>
    </filterColumn>
  </autoFilter>
  <mergeCells count="7">
    <mergeCell ref="A100:G100"/>
    <mergeCell ref="A101:G101"/>
    <mergeCell ref="A9:G9"/>
    <mergeCell ref="A10:G10"/>
    <mergeCell ref="A11:G11"/>
    <mergeCell ref="A97:G97"/>
    <mergeCell ref="A98:G98"/>
  </mergeCells>
  <conditionalFormatting sqref="C14:C92">
    <cfRule type="expression" dxfId="260" priority="4">
      <formula>$C14=0</formula>
    </cfRule>
  </conditionalFormatting>
  <printOptions horizontalCentered="1"/>
  <pageMargins left="0.5" right="0.5" top="1.5" bottom="0.3" header="0.3" footer="0"/>
  <pageSetup scale="46" orientation="portrait" r:id="rId1"/>
  <headerFooter>
    <oddHeader>&amp;C&amp;G</oddHeader>
  </headerFooter>
  <rowBreaks count="1" manualBreakCount="1">
    <brk id="10" max="16383" man="1"/>
  </rowBreaks>
  <colBreaks count="1" manualBreakCount="1">
    <brk id="11" max="1048575" man="1"/>
  </colBreaks>
  <ignoredErrors>
    <ignoredError sqref="D29" formula="1"/>
  </ignoredError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ThisWorkbook.unhide_Rows">
                <anchor moveWithCells="1" sizeWithCells="1">
                  <from>
                    <xdr:col>0</xdr:col>
                    <xdr:colOff>901700</xdr:colOff>
                    <xdr:row>0</xdr:row>
                    <xdr:rowOff>114300</xdr:rowOff>
                  </from>
                  <to>
                    <xdr:col>0</xdr:col>
                    <xdr:colOff>3022600</xdr:colOff>
                    <xdr:row>3</xdr:row>
                    <xdr:rowOff>165100</xdr:rowOff>
                  </to>
                </anchor>
              </controlPr>
            </control>
          </mc:Choice>
        </mc:AlternateContent>
        <mc:AlternateContent xmlns:mc="http://schemas.openxmlformats.org/markup-compatibility/2006">
          <mc:Choice Requires="x14">
            <control shapeId="1030" r:id="rId6" name="Button 6">
              <controlPr defaultSize="0" print="0" autoFill="0" autoPict="0" macro="[0]!ThisWorkbook.hide_Rows">
                <anchor moveWithCells="1" sizeWithCells="1">
                  <from>
                    <xdr:col>0</xdr:col>
                    <xdr:colOff>901700</xdr:colOff>
                    <xdr:row>4</xdr:row>
                    <xdr:rowOff>38100</xdr:rowOff>
                  </from>
                  <to>
                    <xdr:col>0</xdr:col>
                    <xdr:colOff>3022600</xdr:colOff>
                    <xdr:row>7</xdr:row>
                    <xdr:rowOff>88900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7">
        <x14:dataValidation type="list" allowBlank="1" showInputMessage="1" showErrorMessage="1" xr:uid="{C0224AEF-618C-4EE0-9C93-824B6408F562}">
          <x14:formula1>
            <xm:f>'Asset Class Tables and Dropdown'!$A$99:$A$143</xm:f>
          </x14:formula1>
          <xm:sqref>A65:A82</xm:sqref>
        </x14:dataValidation>
        <x14:dataValidation type="list" allowBlank="1" showInputMessage="1" showErrorMessage="1" xr:uid="{2BD820DA-6068-4D31-B10E-406E9FE9CDA7}">
          <x14:formula1>
            <xm:f>'Asset Class Tables and Dropdown'!$A$40:$A$50</xm:f>
          </x14:formula1>
          <xm:sqref>A32:A35</xm:sqref>
        </x14:dataValidation>
        <x14:dataValidation type="list" allowBlank="1" showInputMessage="1" showErrorMessage="1" xr:uid="{51C1917E-2FA6-4B1F-BBF0-0C5FC11D8634}">
          <x14:formula1>
            <xm:f>'Asset Class Tables and Dropdown'!$A$87:$A$95</xm:f>
          </x14:formula1>
          <xm:sqref>A57:A61</xm:sqref>
        </x14:dataValidation>
        <x14:dataValidation type="list" allowBlank="1" showInputMessage="1" showErrorMessage="1" xr:uid="{B989C46F-EAC5-498E-A860-B63BF5BF66F6}">
          <x14:formula1>
            <xm:f>'Asset Class Tables and Dropdown'!$A$54:$A$63</xm:f>
          </x14:formula1>
          <xm:sqref>A39:A43</xm:sqref>
        </x14:dataValidation>
        <x14:dataValidation type="list" allowBlank="1" showInputMessage="1" showErrorMessage="1" xr:uid="{1E25ACC7-DC6D-49BE-94DA-2612CC07E35E}">
          <x14:formula1>
            <xm:f>'Asset Class Tables and Dropdown'!$A$25:$A$37</xm:f>
          </x14:formula1>
          <xm:sqref>A26:A28</xm:sqref>
        </x14:dataValidation>
        <x14:dataValidation type="list" allowBlank="1" showInputMessage="1" showErrorMessage="1" xr:uid="{06FFCB1A-08BE-4644-B4DB-51BE0A69A577}">
          <x14:formula1>
            <xm:f>'Asset Class Tables and Dropdown'!$A$3:$A$21</xm:f>
          </x14:formula1>
          <xm:sqref>A16:A22</xm:sqref>
        </x14:dataValidation>
        <x14:dataValidation type="list" allowBlank="1" showInputMessage="1" showErrorMessage="1" xr:uid="{35644DEC-28F0-497B-8FF7-AD048BA7E261}">
          <x14:formula1>
            <xm:f>'Asset Class Tables and Dropdown'!$A$66:$A$82</xm:f>
          </x14:formula1>
          <xm:sqref>A47:A53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E2C879-88F4-3A46-85D5-A3BB319585F2}">
  <sheetPr codeName="Sheet6">
    <tabColor theme="9" tint="-0.249977111117893"/>
  </sheetPr>
  <dimension ref="A1:Z247"/>
  <sheetViews>
    <sheetView showGridLines="0" showRowColHeaders="0" tabSelected="1" zoomScaleNormal="100" workbookViewId="0">
      <pane ySplit="1" topLeftCell="A2" activePane="bottomLeft" state="frozen"/>
      <selection pane="bottomLeft"/>
    </sheetView>
  </sheetViews>
  <sheetFormatPr baseColWidth="10" defaultColWidth="11.5" defaultRowHeight="15"/>
  <cols>
    <col min="1" max="1" width="2.1640625" customWidth="1"/>
    <col min="2" max="2" width="61.33203125" bestFit="1" customWidth="1"/>
    <col min="3" max="3" width="46" bestFit="1" customWidth="1"/>
    <col min="4" max="4" width="19.1640625" bestFit="1" customWidth="1"/>
    <col min="5" max="5" width="55.1640625" customWidth="1"/>
    <col min="6" max="6" width="32" customWidth="1"/>
    <col min="7" max="7" width="45.1640625" bestFit="1" customWidth="1"/>
    <col min="8" max="8" width="6" customWidth="1"/>
    <col min="9" max="9" width="10.83203125" bestFit="1" customWidth="1"/>
    <col min="10" max="10" width="10.1640625" bestFit="1" customWidth="1"/>
    <col min="11" max="11" width="21" bestFit="1" customWidth="1"/>
    <col min="12" max="12" width="6" customWidth="1"/>
    <col min="13" max="13" width="28" style="190" hidden="1" customWidth="1"/>
    <col min="14" max="14" width="16.6640625" hidden="1" customWidth="1"/>
    <col min="15" max="15" width="19.5" style="333" bestFit="1" customWidth="1"/>
    <col min="16" max="16" width="16.83203125" style="333" customWidth="1"/>
    <col min="17" max="17" width="27.83203125" style="333" bestFit="1" customWidth="1"/>
    <col min="18" max="18" width="4.5" style="333" bestFit="1" customWidth="1"/>
    <col min="19" max="19" width="2.1640625" style="333" customWidth="1"/>
    <col min="20" max="20" width="9.33203125" style="333" bestFit="1" customWidth="1"/>
    <col min="21" max="21" width="25.6640625" style="333" bestFit="1" customWidth="1"/>
    <col min="22" max="22" width="19.5" style="333" bestFit="1" customWidth="1"/>
    <col min="23" max="16384" width="11.5" style="333"/>
  </cols>
  <sheetData>
    <row r="1" spans="2:26" ht="29">
      <c r="B1" s="352" t="str">
        <f>IF(C9="",_xlfn.CONCAT(C6," Investment Proposal"),IF(C6=C9,_xlfn.CONCAT(C6," Investment Proposal"),_xlfn.CONCAT(C6,", ",C5," &amp; ",C9,", ",C8," Investment Proposal")))</f>
        <v xml:space="preserve"> Investment Proposal</v>
      </c>
      <c r="C1" s="352"/>
      <c r="D1" s="352"/>
      <c r="E1" s="317" t="s">
        <v>55</v>
      </c>
      <c r="F1" s="318" t="str">
        <f>IF(Errors!B3 = 0, "None", Errors!B3)</f>
        <v>None</v>
      </c>
      <c r="G1" s="188"/>
      <c r="H1" s="188"/>
      <c r="I1" s="188"/>
      <c r="J1" s="188"/>
    </row>
    <row r="3" spans="2:26" ht="29">
      <c r="B3" s="325" t="s">
        <v>734</v>
      </c>
      <c r="C3" s="326"/>
      <c r="D3" s="326"/>
      <c r="E3" s="325" t="s">
        <v>56</v>
      </c>
      <c r="F3" s="326"/>
      <c r="G3" s="326"/>
      <c r="H3" s="326"/>
      <c r="I3" s="326"/>
      <c r="J3" s="326"/>
      <c r="K3" s="326"/>
      <c r="L3" s="326"/>
      <c r="M3" s="176"/>
      <c r="N3" s="326"/>
      <c r="O3" s="334"/>
      <c r="P3" s="334"/>
      <c r="Q3" s="334"/>
      <c r="R3" s="334"/>
      <c r="S3" s="334"/>
      <c r="T3" s="334"/>
      <c r="U3" s="334"/>
      <c r="V3" s="334"/>
      <c r="W3" s="334"/>
      <c r="X3" s="334"/>
      <c r="Y3" s="334"/>
      <c r="Z3" s="334"/>
    </row>
    <row r="4" spans="2:26">
      <c r="D4" s="26"/>
      <c r="E4" s="302"/>
      <c r="G4" s="189"/>
    </row>
    <row r="5" spans="2:26" ht="16">
      <c r="B5" s="304" t="s">
        <v>57</v>
      </c>
      <c r="C5" s="315"/>
      <c r="D5" s="26"/>
      <c r="E5" s="319" t="s">
        <v>58</v>
      </c>
      <c r="I5" s="178"/>
      <c r="J5" s="178"/>
    </row>
    <row r="6" spans="2:26" ht="16">
      <c r="B6" s="246" t="s">
        <v>59</v>
      </c>
      <c r="C6" s="319"/>
      <c r="D6" s="26"/>
      <c r="E6" s="287" t="s">
        <v>60</v>
      </c>
      <c r="I6" s="179"/>
      <c r="J6" s="179"/>
    </row>
    <row r="7" spans="2:26" ht="16">
      <c r="B7" s="246" t="s">
        <v>61</v>
      </c>
      <c r="C7" s="320"/>
      <c r="D7" s="26"/>
      <c r="E7" s="328" t="s">
        <v>62</v>
      </c>
    </row>
    <row r="8" spans="2:26" ht="16">
      <c r="B8" s="246" t="s">
        <v>63</v>
      </c>
      <c r="C8" s="315"/>
      <c r="D8" s="26"/>
    </row>
    <row r="9" spans="2:26" ht="16">
      <c r="B9" s="246" t="s">
        <v>65</v>
      </c>
      <c r="C9" s="315"/>
      <c r="D9" s="26"/>
    </row>
    <row r="10" spans="2:26" ht="16">
      <c r="B10" s="246" t="s">
        <v>67</v>
      </c>
      <c r="C10" s="343"/>
      <c r="D10" s="26"/>
    </row>
    <row r="11" spans="2:26" ht="16">
      <c r="B11" s="259"/>
      <c r="C11" s="288"/>
      <c r="D11" s="26"/>
    </row>
    <row r="12" spans="2:26">
      <c r="B12" s="302"/>
      <c r="C12" s="303"/>
      <c r="D12" s="26"/>
    </row>
    <row r="13" spans="2:26" ht="16">
      <c r="B13" s="246" t="s">
        <v>68</v>
      </c>
      <c r="C13" s="319"/>
      <c r="D13" s="26"/>
    </row>
    <row r="14" spans="2:26" ht="16">
      <c r="B14" s="246" t="s">
        <v>70</v>
      </c>
      <c r="C14" s="319"/>
      <c r="D14" s="26"/>
    </row>
    <row r="15" spans="2:26" ht="16">
      <c r="B15" s="246" t="s">
        <v>72</v>
      </c>
      <c r="C15" s="350" t="str">
        <f>_xlfn.IFNA(_xlfn.XLOOKUP(C14, Office_Addresses[Location], Office_Addresses[Address (Pasted on bottom of Proposal)]), "")</f>
        <v/>
      </c>
      <c r="D15" s="351"/>
    </row>
    <row r="16" spans="2:26" ht="16">
      <c r="B16" s="246" t="s">
        <v>25</v>
      </c>
      <c r="C16" s="320"/>
      <c r="D16" s="26"/>
    </row>
    <row r="17" spans="2:26">
      <c r="C17" s="316"/>
      <c r="D17" s="26"/>
      <c r="E17" s="189"/>
    </row>
    <row r="18" spans="2:26" ht="29">
      <c r="B18" s="325" t="s">
        <v>732</v>
      </c>
      <c r="C18" s="326"/>
      <c r="D18" s="326"/>
      <c r="E18" s="326"/>
      <c r="F18" s="326"/>
      <c r="G18" s="326"/>
      <c r="H18" s="326"/>
      <c r="I18" s="326"/>
      <c r="J18" s="326"/>
      <c r="K18" s="326"/>
      <c r="L18" s="326"/>
      <c r="M18" s="176"/>
      <c r="N18" s="326"/>
      <c r="O18" s="334"/>
      <c r="P18" s="334"/>
      <c r="Q18" s="334"/>
      <c r="R18" s="334"/>
      <c r="S18" s="334"/>
      <c r="T18" s="334"/>
      <c r="U18" s="334"/>
      <c r="V18" s="334"/>
      <c r="W18" s="334"/>
      <c r="X18" s="334"/>
      <c r="Y18" s="334"/>
      <c r="Z18" s="334"/>
    </row>
    <row r="19" spans="2:26" ht="15" customHeight="1"/>
    <row r="20" spans="2:26" ht="16">
      <c r="B20" s="305" t="s">
        <v>73</v>
      </c>
    </row>
    <row r="21" spans="2:26">
      <c r="B21" s="321"/>
    </row>
    <row r="22" spans="2:26" ht="16">
      <c r="B22" s="289"/>
    </row>
    <row r="23" spans="2:26" ht="16">
      <c r="B23" s="305" t="s">
        <v>74</v>
      </c>
    </row>
    <row r="24" spans="2:26">
      <c r="B24" s="319"/>
    </row>
    <row r="25" spans="2:26" ht="16">
      <c r="B25" s="289"/>
    </row>
    <row r="26" spans="2:26" ht="16">
      <c r="B26" s="305" t="s">
        <v>731</v>
      </c>
    </row>
    <row r="27" spans="2:26">
      <c r="B27" s="328" t="str">
        <f ca="1">IF(AND(YEAR(NOW()) - YEAR(C7) &lt; 70, YEAR(NOW()) - YEAR(C10) &lt; 70), "Yes", "No")</f>
        <v>No</v>
      </c>
      <c r="D27" s="286"/>
    </row>
    <row r="29" spans="2:26" ht="16">
      <c r="B29" s="305" t="s">
        <v>76</v>
      </c>
    </row>
    <row r="30" spans="2:26">
      <c r="B30" s="321"/>
    </row>
    <row r="32" spans="2:26" ht="16">
      <c r="B32" s="305" t="s">
        <v>77</v>
      </c>
    </row>
    <row r="33" spans="2:26">
      <c r="B33" s="321"/>
    </row>
    <row r="34" spans="2:26" ht="16">
      <c r="B34" s="289"/>
    </row>
    <row r="35" spans="2:26" ht="16">
      <c r="B35" s="305" t="s">
        <v>78</v>
      </c>
    </row>
    <row r="36" spans="2:26">
      <c r="B36" s="321"/>
    </row>
    <row r="37" spans="2:26" ht="16">
      <c r="B37" s="289"/>
    </row>
    <row r="38" spans="2:26" ht="16">
      <c r="B38" s="305" t="s">
        <v>79</v>
      </c>
    </row>
    <row r="39" spans="2:26" ht="16">
      <c r="B39" s="329">
        <f>B30-B33-B36-(E145*B30)</f>
        <v>0</v>
      </c>
    </row>
    <row r="41" spans="2:26" ht="29" hidden="1">
      <c r="B41" s="325" t="s">
        <v>80</v>
      </c>
      <c r="C41" s="326"/>
      <c r="D41" s="326"/>
      <c r="E41" s="326"/>
      <c r="F41" s="326"/>
      <c r="G41" s="326"/>
      <c r="H41" s="326"/>
      <c r="I41" s="326"/>
      <c r="J41" s="326"/>
      <c r="K41" s="326"/>
      <c r="L41" s="326"/>
      <c r="M41" s="176"/>
      <c r="N41" s="326"/>
      <c r="O41" s="334"/>
      <c r="P41" s="334"/>
      <c r="Q41" s="334"/>
      <c r="R41" s="334"/>
      <c r="S41" s="334"/>
      <c r="T41" s="334"/>
      <c r="U41" s="334"/>
      <c r="V41" s="334"/>
      <c r="W41" s="334"/>
      <c r="X41" s="334"/>
      <c r="Y41" s="334"/>
      <c r="Z41" s="334"/>
    </row>
    <row r="42" spans="2:26" hidden="1">
      <c r="E42" s="61"/>
    </row>
    <row r="43" spans="2:26" ht="16" hidden="1">
      <c r="B43" s="305" t="s">
        <v>81</v>
      </c>
      <c r="E43" s="189"/>
    </row>
    <row r="44" spans="2:26" ht="16" hidden="1">
      <c r="B44" s="329">
        <f>B33</f>
        <v>0</v>
      </c>
    </row>
    <row r="45" spans="2:26" hidden="1"/>
    <row r="46" spans="2:26" ht="16" hidden="1">
      <c r="B46" s="309" t="s">
        <v>82</v>
      </c>
      <c r="C46" s="310" t="s">
        <v>83</v>
      </c>
      <c r="D46" s="311" t="s">
        <v>84</v>
      </c>
      <c r="E46" s="311" t="s">
        <v>85</v>
      </c>
      <c r="G46" s="307" t="s">
        <v>86</v>
      </c>
      <c r="M46" s="338" t="s">
        <v>87</v>
      </c>
      <c r="N46" s="338" t="s">
        <v>88</v>
      </c>
    </row>
    <row r="47" spans="2:26" ht="16" hidden="1">
      <c r="B47" s="246" t="str" cm="1">
        <f t="array" ref="B47:B57">Alternative_Investments_List[Positions]</f>
        <v>BREIT - Blackstone Real Estate Income Trust</v>
      </c>
      <c r="C47" s="290"/>
      <c r="D47" s="330" t="e">
        <f>$C47/$B$21</f>
        <v>#DIV/0!</v>
      </c>
      <c r="E47" s="330" t="e">
        <f>$C47/$B$30</f>
        <v>#DIV/0!</v>
      </c>
      <c r="G47" s="330" t="e">
        <f ca="1">IF(B27 = "Yes", IF(B21 &gt; 5000000, _xlfn.XLOOKUP('Investment Proposal Inputs'!B24, Alt_Guidelines_Holder_Under_70[Investment Objective], Alt_Guidelines_Holder_Under_70[$5.0M &lt; LNW &amp; Acct Holder &lt; 70]), IF(B21 &gt; 1000000, _xlfn.XLOOKUP('Investment Proposal Inputs'!B24, Alt_Guidelines_Holder_Under_70[Investment Objective], Alt_Guidelines_Holder_Under_70[$1M &lt; LNW &lt; $4.9M &amp; Acct Holder &lt; 70]), _xlfn.XLOOKUP('Investment Proposal Inputs'!B24, Alt_Guidelines_Holder_Under_70[Investment Objective], Alt_Guidelines_Holder_Under_70[LNW &lt; $999,999 &amp; Acct Holder &lt; 70]))), IF('Investment Proposal Inputs'!B21 &gt; 5000000, _xlfn.XLOOKUP('Investment Proposal Inputs'!B24, Alt_Guidelines_Holder_Over_70[Investment Objective], Alt_Guidelines_Holder_Over_70[$5.0M &lt; LNW &amp; Acct Holder &gt; 70]), IF('Investment Proposal Inputs'!B21 &gt; 1000000, _xlfn.XLOOKUP('Investment Proposal Inputs'!B24, Alt_Guidelines_Holder_Over_70[Investment Objective], Alt_Guidelines_Holder_Over_70[$1M &lt; LNW &lt; $4.9M &amp; Acct Holder &gt; 70]), _xlfn.XLOOKUP('Investment Proposal Inputs'!B24, Alt_Guidelines_Holder_Over_70[Investment Objective], Alt_Guidelines_Holder_Over_70[LNW &lt; $999,999 &amp; Acct Holder &gt; 70]))))</f>
        <v>#N/A</v>
      </c>
      <c r="M47" s="248" t="str">
        <f>LEFT(B47, FIND(" ", B47) - 1)</f>
        <v>BREIT</v>
      </c>
      <c r="N47" s="337">
        <f>C47</f>
        <v>0</v>
      </c>
    </row>
    <row r="48" spans="2:26" ht="16" hidden="1">
      <c r="B48" s="246" t="str">
        <v>OCIC - Blue Owl Credit Income Corp. Fund</v>
      </c>
      <c r="C48" s="290"/>
      <c r="D48" s="330" t="e">
        <f>$C48/$B$21</f>
        <v>#DIV/0!</v>
      </c>
      <c r="E48" s="330" t="e">
        <f t="shared" ref="E48:E57" si="0">$C48/$B$30</f>
        <v>#DIV/0!</v>
      </c>
      <c r="M48" s="248" t="str">
        <f t="shared" ref="M48:M54" si="1">LEFT(B48, FIND(" ", B48) - 1)</f>
        <v>OCIC</v>
      </c>
      <c r="N48" s="331">
        <f t="shared" ref="N48:N57" si="2">C48</f>
        <v>0</v>
      </c>
    </row>
    <row r="49" spans="2:26" ht="16" hidden="1">
      <c r="B49" s="246" t="str">
        <v>OTIC - Blue Owl Technology Income Fund</v>
      </c>
      <c r="C49" s="290"/>
      <c r="D49" s="330" t="e">
        <f t="shared" ref="D49:D54" si="3">$C49/$B$21</f>
        <v>#DIV/0!</v>
      </c>
      <c r="E49" s="330" t="e">
        <f t="shared" si="0"/>
        <v>#DIV/0!</v>
      </c>
      <c r="M49" s="248" t="str">
        <f t="shared" si="1"/>
        <v>OTIC</v>
      </c>
      <c r="N49" s="331">
        <f t="shared" si="2"/>
        <v>0</v>
      </c>
    </row>
    <row r="50" spans="2:26" ht="16" hidden="1">
      <c r="B50" s="246" t="str">
        <v>ZHGIIX - Hines Global Income Trust</v>
      </c>
      <c r="C50" s="290"/>
      <c r="D50" s="330" t="e">
        <f t="shared" si="3"/>
        <v>#DIV/0!</v>
      </c>
      <c r="E50" s="330" t="e">
        <f t="shared" si="0"/>
        <v>#DIV/0!</v>
      </c>
      <c r="M50" s="248" t="str">
        <f t="shared" si="1"/>
        <v>ZHGIIX</v>
      </c>
      <c r="N50" s="331">
        <f t="shared" si="2"/>
        <v>0</v>
      </c>
    </row>
    <row r="51" spans="2:26" ht="16" hidden="1">
      <c r="B51" s="246" t="str">
        <v>ZNGRIX - Nuveen Global Cities REIT</v>
      </c>
      <c r="C51" s="290"/>
      <c r="D51" s="330" t="e">
        <f t="shared" si="3"/>
        <v>#DIV/0!</v>
      </c>
      <c r="E51" s="330" t="e">
        <f t="shared" si="0"/>
        <v>#DIV/0!</v>
      </c>
      <c r="M51" s="248" t="str">
        <f t="shared" si="1"/>
        <v>ZNGRIX</v>
      </c>
      <c r="N51" s="331">
        <f t="shared" si="2"/>
        <v>0</v>
      </c>
    </row>
    <row r="52" spans="2:26" ht="16" hidden="1">
      <c r="B52" s="246" t="str">
        <v>PCAP - Nuveen Churchill Private Capital Income Fund</v>
      </c>
      <c r="C52" s="290"/>
      <c r="D52" s="330" t="e">
        <f t="shared" si="3"/>
        <v>#DIV/0!</v>
      </c>
      <c r="E52" s="330" t="e">
        <f t="shared" si="0"/>
        <v>#DIV/0!</v>
      </c>
      <c r="M52" s="248" t="str">
        <f t="shared" si="1"/>
        <v>PCAP</v>
      </c>
      <c r="N52" s="331">
        <f t="shared" si="2"/>
        <v>0</v>
      </c>
    </row>
    <row r="53" spans="2:26" ht="16" hidden="1">
      <c r="B53" s="246" t="str">
        <v>SPRIM - StepStone Private Markets Fund</v>
      </c>
      <c r="C53" s="290"/>
      <c r="D53" s="330" t="e">
        <f t="shared" si="3"/>
        <v>#DIV/0!</v>
      </c>
      <c r="E53" s="330" t="e">
        <f t="shared" si="0"/>
        <v>#DIV/0!</v>
      </c>
      <c r="M53" s="248" t="str">
        <f t="shared" si="1"/>
        <v>SPRIM</v>
      </c>
      <c r="N53" s="331">
        <f t="shared" si="2"/>
        <v>0</v>
      </c>
    </row>
    <row r="54" spans="2:26" ht="16" hidden="1">
      <c r="B54" s="246" t="str">
        <v>PIF - Pomona Investment Fund</v>
      </c>
      <c r="C54" s="290"/>
      <c r="D54" s="330" t="e">
        <f t="shared" si="3"/>
        <v>#DIV/0!</v>
      </c>
      <c r="E54" s="330" t="e">
        <f t="shared" si="0"/>
        <v>#DIV/0!</v>
      </c>
      <c r="M54" s="248" t="str">
        <f t="shared" si="1"/>
        <v>PIF</v>
      </c>
      <c r="N54" s="331">
        <f t="shared" si="2"/>
        <v>0</v>
      </c>
    </row>
    <row r="55" spans="2:26" ht="16" hidden="1">
      <c r="B55" s="246" t="str">
        <v>Private Equity Opportunity</v>
      </c>
      <c r="C55" s="290"/>
      <c r="D55" s="330" t="e">
        <f>$C55/$B$21</f>
        <v>#DIV/0!</v>
      </c>
      <c r="E55" s="330" t="e">
        <f t="shared" si="0"/>
        <v>#DIV/0!</v>
      </c>
      <c r="M55" s="248" t="str">
        <f>B55</f>
        <v>Private Equity Opportunity</v>
      </c>
      <c r="N55" s="331">
        <f t="shared" si="2"/>
        <v>0</v>
      </c>
    </row>
    <row r="56" spans="2:26" ht="16" hidden="1">
      <c r="B56" s="246" t="str">
        <v>Private Lending Opportunity</v>
      </c>
      <c r="C56" s="290"/>
      <c r="D56" s="330" t="e">
        <f>$C56/$B$21</f>
        <v>#DIV/0!</v>
      </c>
      <c r="E56" s="330" t="e">
        <f t="shared" si="0"/>
        <v>#DIV/0!</v>
      </c>
      <c r="M56" s="248" t="str">
        <f>B56</f>
        <v>Private Lending Opportunity</v>
      </c>
      <c r="N56" s="331">
        <f t="shared" si="2"/>
        <v>0</v>
      </c>
    </row>
    <row r="57" spans="2:26" ht="16" hidden="1">
      <c r="B57" s="246" t="str">
        <v>Private Real Estate Opportunity</v>
      </c>
      <c r="C57" s="290"/>
      <c r="D57" s="330" t="e">
        <f>$C57/$B$21</f>
        <v>#DIV/0!</v>
      </c>
      <c r="E57" s="330" t="e">
        <f t="shared" si="0"/>
        <v>#DIV/0!</v>
      </c>
      <c r="M57" s="248" t="str">
        <f>B57</f>
        <v>Private Real Estate Opportunity</v>
      </c>
      <c r="N57" s="331">
        <f t="shared" si="2"/>
        <v>0</v>
      </c>
    </row>
    <row r="58" spans="2:26" hidden="1"/>
    <row r="59" spans="2:26" hidden="1"/>
    <row r="60" spans="2:26" ht="29" hidden="1">
      <c r="B60" s="325" t="s">
        <v>89</v>
      </c>
      <c r="C60" s="326"/>
      <c r="D60" s="326"/>
      <c r="E60" s="326"/>
      <c r="F60" s="326"/>
      <c r="G60" s="326"/>
      <c r="H60" s="326"/>
      <c r="I60" s="326"/>
      <c r="J60" s="326"/>
      <c r="K60" s="326"/>
      <c r="L60" s="326"/>
      <c r="M60" s="176"/>
      <c r="N60" s="326"/>
      <c r="O60" s="334"/>
      <c r="P60" s="334"/>
      <c r="Q60" s="334"/>
      <c r="R60" s="334"/>
      <c r="S60" s="334"/>
      <c r="T60" s="334"/>
      <c r="U60" s="334"/>
      <c r="V60" s="334"/>
      <c r="W60" s="334"/>
      <c r="X60" s="334"/>
      <c r="Y60" s="334"/>
      <c r="Z60" s="334"/>
    </row>
    <row r="61" spans="2:26" ht="16" hidden="1" customHeight="1"/>
    <row r="62" spans="2:26" ht="16" hidden="1">
      <c r="B62" s="308" t="s">
        <v>78</v>
      </c>
    </row>
    <row r="63" spans="2:26" ht="16" hidden="1">
      <c r="B63" s="332">
        <f>B36</f>
        <v>0</v>
      </c>
    </row>
    <row r="64" spans="2:26" hidden="1"/>
    <row r="65" spans="2:17" ht="16" hidden="1">
      <c r="B65" s="309" t="s">
        <v>90</v>
      </c>
      <c r="C65" s="310" t="s">
        <v>83</v>
      </c>
      <c r="M65" s="338" t="s">
        <v>87</v>
      </c>
      <c r="N65" s="339" t="s">
        <v>88</v>
      </c>
    </row>
    <row r="66" spans="2:17" ht="16" hidden="1">
      <c r="B66" s="246" t="str" cm="1">
        <f t="array" ref="B66:B71">Interval_Funds_List[Positions]</f>
        <v>CEDIX - Bluebay Destra International Event Driven Credit Fund</v>
      </c>
      <c r="C66" s="290"/>
      <c r="M66" s="248" t="str">
        <f t="shared" ref="M66:M71" si="4">LEFT(B66, FIND(" ", B66) - 1)</f>
        <v>CEDIX</v>
      </c>
      <c r="N66" s="337">
        <f t="shared" ref="N66:N71" si="5">C66</f>
        <v>0</v>
      </c>
    </row>
    <row r="67" spans="2:17" ht="16" hidden="1">
      <c r="B67" s="246" t="str">
        <v>CADUX - Cion Ares Diversified Credit Fund</v>
      </c>
      <c r="C67" s="290"/>
      <c r="M67" s="248" t="str">
        <f t="shared" si="4"/>
        <v>CADUX</v>
      </c>
      <c r="N67" s="331">
        <f t="shared" si="5"/>
        <v>0</v>
      </c>
    </row>
    <row r="68" spans="2:17" ht="16" hidden="1">
      <c r="B68" s="246" t="str">
        <v>CCLFX - Cliffwater Corporate Lending Fund</v>
      </c>
      <c r="C68" s="290"/>
      <c r="M68" s="248" t="str">
        <f t="shared" si="4"/>
        <v>CCLFX</v>
      </c>
      <c r="N68" s="331">
        <f t="shared" si="5"/>
        <v>0</v>
      </c>
    </row>
    <row r="69" spans="2:17" ht="16" hidden="1">
      <c r="B69" s="246" t="str">
        <v>GRIFX - Apollo Diversified Real Estate Fund</v>
      </c>
      <c r="C69" s="290"/>
      <c r="M69" s="248" t="str">
        <f t="shared" si="4"/>
        <v>GRIFX</v>
      </c>
      <c r="N69" s="331">
        <f t="shared" si="5"/>
        <v>0</v>
      </c>
    </row>
    <row r="70" spans="2:17" ht="16" hidden="1">
      <c r="B70" s="246" t="str">
        <v>LCRDX - Lord Abbett Credit Opportunities Fund</v>
      </c>
      <c r="C70" s="290"/>
      <c r="M70" s="248" t="str">
        <f t="shared" si="4"/>
        <v>LCRDX</v>
      </c>
      <c r="N70" s="331">
        <f t="shared" si="5"/>
        <v>0</v>
      </c>
    </row>
    <row r="71" spans="2:17" ht="16" hidden="1">
      <c r="B71" s="246" t="str">
        <v>TIPWX - Bluerock Total Income Fund</v>
      </c>
      <c r="C71" s="290"/>
      <c r="M71" s="248" t="str">
        <f t="shared" si="4"/>
        <v>TIPWX</v>
      </c>
      <c r="N71" s="331">
        <f t="shared" si="5"/>
        <v>0</v>
      </c>
    </row>
    <row r="72" spans="2:17" hidden="1">
      <c r="N72" s="182"/>
    </row>
    <row r="73" spans="2:17" ht="29">
      <c r="B73" s="325" t="s">
        <v>733</v>
      </c>
      <c r="C73" s="323"/>
      <c r="D73" s="323"/>
      <c r="E73" s="353"/>
      <c r="F73" s="353"/>
      <c r="G73" s="353"/>
      <c r="H73" s="353"/>
      <c r="I73" s="353"/>
      <c r="J73" s="323"/>
      <c r="K73" s="323"/>
      <c r="L73" s="323"/>
      <c r="M73" s="324"/>
      <c r="N73" s="323"/>
    </row>
    <row r="75" spans="2:17" ht="16">
      <c r="B75" s="309" t="s">
        <v>729</v>
      </c>
    </row>
    <row r="76" spans="2:17" ht="16">
      <c r="B76" s="306">
        <f>B30-B33-B36-(E145*B30)</f>
        <v>0</v>
      </c>
    </row>
    <row r="77" spans="2:17" ht="16">
      <c r="B77" s="327"/>
    </row>
    <row r="78" spans="2:17" ht="16">
      <c r="B78" s="348" t="s">
        <v>103</v>
      </c>
      <c r="C78" s="348"/>
      <c r="E78" s="341" t="s">
        <v>736</v>
      </c>
      <c r="F78" s="341" t="s">
        <v>737</v>
      </c>
      <c r="G78" s="341" t="s">
        <v>98</v>
      </c>
      <c r="I78" s="308" t="s">
        <v>94</v>
      </c>
      <c r="J78" s="307" t="s">
        <v>95</v>
      </c>
      <c r="K78" s="308" t="s">
        <v>96</v>
      </c>
      <c r="M78" s="338" t="s">
        <v>87</v>
      </c>
      <c r="N78" s="338" t="s">
        <v>88</v>
      </c>
    </row>
    <row r="79" spans="2:17" ht="16">
      <c r="B79" s="249" t="str" cm="1">
        <f t="array" ref="B79:B82">Fixed_Income_Conservative_Sleeve[Positions]</f>
        <v>JSVIX - Easterly Equity Income Opp</v>
      </c>
      <c r="C79" s="250" cm="1">
        <f t="array" ref="C79:C82">Fixed_Income_Conservative_Sleeve[%]</f>
        <v>0.3</v>
      </c>
      <c r="E79" s="322"/>
      <c r="F79" s="331">
        <f>$B$39*E79</f>
        <v>0</v>
      </c>
      <c r="G79" s="291"/>
      <c r="I79" s="247" t="str">
        <f>LEFT(B79, FIND(" ", B79) - 1)</f>
        <v>JSVIX</v>
      </c>
      <c r="J79" s="291"/>
      <c r="K79" s="331">
        <f>IF($G$79="Yes", $F$79*J79, $F$79*C79)</f>
        <v>0</v>
      </c>
      <c r="M79" s="248" t="str">
        <f>I79</f>
        <v>JSVIX</v>
      </c>
      <c r="N79" s="337">
        <f>IF($E$79&lt;&gt;0, IF($G$79&lt;&gt;"Yes", C79*$F$79, J79*$F$79), 0)</f>
        <v>0</v>
      </c>
    </row>
    <row r="80" spans="2:17" ht="16">
      <c r="B80" s="249" t="str">
        <v>CIPTX - CounterPoint Tactical</v>
      </c>
      <c r="C80" s="250">
        <v>0.3</v>
      </c>
      <c r="I80" s="247" t="str">
        <f>LEFT(B80, FIND(" ", B80) - 1)</f>
        <v>CIPTX</v>
      </c>
      <c r="J80" s="291"/>
      <c r="K80" s="331">
        <f>IF($G$79="Yes", $F$79*J80, $F$79*C80)</f>
        <v>0</v>
      </c>
      <c r="M80" s="248" t="str">
        <f>I80</f>
        <v>CIPTX</v>
      </c>
      <c r="N80" s="331">
        <f>IF($E$79&lt;&gt;0, IF($G$79&lt;&gt;"Yes", C80*$F$79, J80*$F$79), 0)</f>
        <v>0</v>
      </c>
      <c r="Q80" s="336"/>
    </row>
    <row r="81" spans="2:16" ht="16">
      <c r="B81" s="249" t="str">
        <v>PONPX - Pimco Income I2</v>
      </c>
      <c r="C81" s="250">
        <v>0.25</v>
      </c>
      <c r="I81" s="247" t="str">
        <f>LEFT(B81, FIND(" ", B81) - 1)</f>
        <v>PONPX</v>
      </c>
      <c r="J81" s="291"/>
      <c r="K81" s="331">
        <f>IF($G$79="Yes", $F$79*J81, $F$79*C81)</f>
        <v>0</v>
      </c>
      <c r="M81" s="248" t="str">
        <f>I81</f>
        <v>PONPX</v>
      </c>
      <c r="N81" s="331">
        <f>IF($E$79&lt;&gt;0, IF($G$79&lt;&gt;"Yes", C81*$F$79, J81*$F$79), 0)</f>
        <v>0</v>
      </c>
    </row>
    <row r="82" spans="2:16" ht="16">
      <c r="B82" s="249" t="str">
        <v xml:space="preserve">HYSZX - PGIM Short Dur HY </v>
      </c>
      <c r="C82" s="250">
        <v>0.15</v>
      </c>
      <c r="I82" s="247" t="str">
        <f>LEFT(B82, FIND(" ", B82) - 1)</f>
        <v>HYSZX</v>
      </c>
      <c r="J82" s="242"/>
      <c r="K82" s="331">
        <f>IF($G$79="Yes", $F$79*J82, $F$79*C82)</f>
        <v>0</v>
      </c>
      <c r="M82" s="248" t="str">
        <f>I82</f>
        <v>HYSZX</v>
      </c>
      <c r="N82" s="331">
        <f>IF($E$79&lt;&gt;0, IF($G$79&lt;&gt;"Yes", C82*$F$79, J82*$F$79), 0)</f>
        <v>0</v>
      </c>
      <c r="P82" s="336"/>
    </row>
    <row r="83" spans="2:16" ht="16">
      <c r="B83" s="327"/>
    </row>
    <row r="84" spans="2:16" ht="16">
      <c r="B84" s="348" t="s">
        <v>102</v>
      </c>
      <c r="C84" s="348"/>
      <c r="E84" s="305" t="s">
        <v>738</v>
      </c>
      <c r="F84" s="305" t="s">
        <v>739</v>
      </c>
      <c r="G84" s="305" t="s">
        <v>98</v>
      </c>
      <c r="I84" s="308" t="s">
        <v>94</v>
      </c>
      <c r="J84" s="307" t="s">
        <v>95</v>
      </c>
      <c r="K84" s="308" t="s">
        <v>96</v>
      </c>
      <c r="M84" s="338" t="s">
        <v>87</v>
      </c>
      <c r="N84" s="338" t="s">
        <v>88</v>
      </c>
    </row>
    <row r="85" spans="2:16" ht="16">
      <c r="B85" s="249" t="str" cm="1">
        <f t="array" ref="B85:B86">AR_Moderate_Aggressive_Sleeve[Positions]</f>
        <v>JHQDX - JP Morgan Hedged Equity</v>
      </c>
      <c r="C85" s="250" cm="1">
        <f t="array" ref="C85:C86">AR_Moderate_Aggressive_Sleeve[%]</f>
        <v>0.4</v>
      </c>
      <c r="E85" s="322"/>
      <c r="F85" s="331">
        <f>$B$39*E85</f>
        <v>0</v>
      </c>
      <c r="G85" s="291"/>
      <c r="I85" s="247" t="str">
        <f>LEFT(B85, FIND(" ", B85) - 1)</f>
        <v>JHQDX</v>
      </c>
      <c r="J85" s="291"/>
      <c r="K85" s="331">
        <f>IF($G$85="Yes", $F$85*J85, $F$85*C85)</f>
        <v>0</v>
      </c>
      <c r="M85" s="248" t="str">
        <f>I85</f>
        <v>JHQDX</v>
      </c>
      <c r="N85" s="337">
        <f>IF($E$85&lt;&gt;0, IF($G$85&lt;&gt;"Yes", C85*$F$85, J85*$F$85), 0)</f>
        <v>0</v>
      </c>
      <c r="P85" s="336"/>
    </row>
    <row r="86" spans="2:16" ht="16">
      <c r="B86" s="249" t="str">
        <v>SDAIX - Swan Defined Risk Growth I</v>
      </c>
      <c r="C86" s="250">
        <v>0.6</v>
      </c>
      <c r="I86" s="247" t="str">
        <f>LEFT(B86, FIND(" ", B86) - 1)</f>
        <v>SDAIX</v>
      </c>
      <c r="J86" s="291"/>
      <c r="K86" s="331">
        <f>IF($G$85="Yes", $F$85*J86, $F$85*C86)</f>
        <v>0</v>
      </c>
      <c r="M86" s="248" t="str">
        <f>I86</f>
        <v>SDAIX</v>
      </c>
      <c r="N86" s="331">
        <f>IF($E$85&lt;&gt;0, IF($G$85&lt;&gt;"Yes", C86*$F$85, J86*$F$85), 0)</f>
        <v>0</v>
      </c>
    </row>
    <row r="87" spans="2:16" ht="16">
      <c r="B87" s="327"/>
      <c r="P87" s="336"/>
    </row>
    <row r="88" spans="2:16" ht="16">
      <c r="B88" s="348" t="s">
        <v>101</v>
      </c>
      <c r="C88" s="348"/>
      <c r="E88" s="305" t="s">
        <v>740</v>
      </c>
      <c r="F88" s="305" t="s">
        <v>741</v>
      </c>
      <c r="G88" s="305" t="s">
        <v>98</v>
      </c>
      <c r="I88" s="308" t="s">
        <v>94</v>
      </c>
      <c r="J88" s="307" t="s">
        <v>95</v>
      </c>
      <c r="K88" s="308" t="s">
        <v>96</v>
      </c>
      <c r="M88" s="338" t="s">
        <v>87</v>
      </c>
      <c r="N88" s="338" t="s">
        <v>88</v>
      </c>
    </row>
    <row r="89" spans="2:16" ht="16">
      <c r="B89" s="249" t="str" cm="1">
        <f t="array" ref="B89:B90">AR_Moderate_Sleeve[Positions]</f>
        <v>JHQDX - JP Morgan Hedged Equity</v>
      </c>
      <c r="C89" s="250" cm="1">
        <f t="array" ref="C89:C90">AR_Moderate_Sleeve[%]</f>
        <v>0.6</v>
      </c>
      <c r="E89" s="322"/>
      <c r="F89" s="331">
        <f>$B$39*E89</f>
        <v>0</v>
      </c>
      <c r="G89" s="291"/>
      <c r="I89" s="247" t="str">
        <f>LEFT(B89, FIND(" ", B89) - 1)</f>
        <v>JHQDX</v>
      </c>
      <c r="J89" s="291"/>
      <c r="K89" s="331">
        <f>IF($G$89="Yes", $F$89*J89, $F$89*C89)</f>
        <v>0</v>
      </c>
      <c r="M89" s="248" t="str">
        <f>I89</f>
        <v>JHQDX</v>
      </c>
      <c r="N89" s="337">
        <f>IF($E$89&lt;&gt;0, IF($G$89&lt;&gt;"Yes", C89*$F$89, J89*$F$89), 0)</f>
        <v>0</v>
      </c>
    </row>
    <row r="90" spans="2:16" ht="16">
      <c r="B90" s="249" t="str">
        <v>SDAIX - Swan Defined Risk Growth I</v>
      </c>
      <c r="C90" s="250">
        <v>0.4</v>
      </c>
      <c r="I90" s="247" t="str">
        <f>LEFT(B90, FIND(" ", B90) - 1)</f>
        <v>SDAIX</v>
      </c>
      <c r="J90" s="291"/>
      <c r="K90" s="331">
        <f>IF($G$89="Yes", $F$89*J90, $F$89*C90)</f>
        <v>0</v>
      </c>
      <c r="M90" s="248" t="str">
        <f>I90</f>
        <v>SDAIX</v>
      </c>
      <c r="N90" s="331">
        <f>IF($E$89&lt;&gt;0, IF($G$89&lt;&gt;"Yes", C90*$F$89, J90*$F$89), 0)</f>
        <v>0</v>
      </c>
    </row>
    <row r="91" spans="2:16" ht="16">
      <c r="B91" s="327"/>
    </row>
    <row r="92" spans="2:16" ht="16">
      <c r="B92" s="348" t="s">
        <v>100</v>
      </c>
      <c r="C92" s="348"/>
      <c r="E92" s="305" t="s">
        <v>742</v>
      </c>
      <c r="F92" s="305" t="s">
        <v>743</v>
      </c>
      <c r="G92" s="305" t="s">
        <v>98</v>
      </c>
      <c r="I92" s="308" t="s">
        <v>94</v>
      </c>
      <c r="J92" s="307" t="s">
        <v>95</v>
      </c>
      <c r="K92" s="308" t="s">
        <v>96</v>
      </c>
      <c r="M92" s="338" t="s">
        <v>87</v>
      </c>
      <c r="N92" s="338" t="s">
        <v>88</v>
      </c>
    </row>
    <row r="93" spans="2:16" ht="16">
      <c r="B93" s="249" t="str" cm="1">
        <f t="array" ref="B93:B96">AR_Conservative_Sleeve[Positions]</f>
        <v>CIHEX - Calmos Hedged Equity I</v>
      </c>
      <c r="C93" s="250" cm="1">
        <f t="array" ref="C93:C96">AR_Conservative_Sleeve[%]</f>
        <v>0.25</v>
      </c>
      <c r="E93" s="322"/>
      <c r="F93" s="331">
        <f>$B$39*E93</f>
        <v>0</v>
      </c>
      <c r="G93" s="291"/>
      <c r="I93" s="247" t="str">
        <f>LEFT(B93, FIND(" ", B93) - 1)</f>
        <v>CIHEX</v>
      </c>
      <c r="J93" s="291"/>
      <c r="K93" s="331">
        <f>IF($G$93="Yes", $F$93*J93, $F$93*C93)</f>
        <v>0</v>
      </c>
      <c r="M93" s="248" t="str">
        <f>I93</f>
        <v>CIHEX</v>
      </c>
      <c r="N93" s="337">
        <f>IF($E$93&lt;&gt;0, IF($G$93&lt;&gt;"Yes", C93*$F$93, J93*$F$93), 0)</f>
        <v>0</v>
      </c>
    </row>
    <row r="94" spans="2:16" ht="16">
      <c r="B94" s="249" t="str">
        <v>JHQDX - JP Morgan Hedged Equity</v>
      </c>
      <c r="C94" s="250">
        <v>0.5</v>
      </c>
      <c r="I94" s="247" t="str">
        <f>LEFT(B94, FIND(" ", B94) - 1)</f>
        <v>JHQDX</v>
      </c>
      <c r="J94" s="291"/>
      <c r="K94" s="331">
        <f>IF($G$93="Yes", $F$93*J94, $F$93*C94)</f>
        <v>0</v>
      </c>
      <c r="M94" s="248" t="str">
        <f>I94</f>
        <v>JHQDX</v>
      </c>
      <c r="N94" s="331">
        <f>IF($E$93&lt;&gt;0, IF($G$93&lt;&gt;"Yes", C94*$F$93, J94*$F$93), 0)</f>
        <v>0</v>
      </c>
    </row>
    <row r="95" spans="2:16" ht="16">
      <c r="B95" s="249" t="str">
        <v>SDAIX - Swan Defined Risk Growth I</v>
      </c>
      <c r="C95" s="250">
        <v>0.1</v>
      </c>
      <c r="I95" s="247" t="str">
        <f>LEFT(B95, FIND(" ", B95) - 1)</f>
        <v>SDAIX</v>
      </c>
      <c r="J95" s="291"/>
      <c r="K95" s="331">
        <f>IF($G$93="Yes", $F$93*J95, $F$93*C95)</f>
        <v>0</v>
      </c>
      <c r="M95" s="248" t="str">
        <f>I95</f>
        <v>SDAIX</v>
      </c>
      <c r="N95" s="331">
        <f>IF($E$93&lt;&gt;0, IF($G$93&lt;&gt;"Yes", C95*$F$93, J95*$F$93), 0)</f>
        <v>0</v>
      </c>
    </row>
    <row r="96" spans="2:16" ht="16">
      <c r="B96" s="249" t="str">
        <v>HMEZX - NexPoint Merger Arbitrage</v>
      </c>
      <c r="C96" s="250">
        <v>0.15</v>
      </c>
      <c r="I96" s="247" t="str">
        <f>LEFT(B96, FIND(" ", B96) - 1)</f>
        <v>HMEZX</v>
      </c>
      <c r="J96" s="291"/>
      <c r="K96" s="331">
        <f>IF($G$93="Yes", $F$93*J96, $F$93*C96)</f>
        <v>0</v>
      </c>
      <c r="M96" s="248" t="str">
        <f>I96</f>
        <v>HMEZX</v>
      </c>
      <c r="N96" s="331">
        <f>IF($E$93&lt;&gt;0, IF($G$93&lt;&gt;"Yes", C96*$F$93, J96*$F$93), 0)</f>
        <v>0</v>
      </c>
    </row>
    <row r="97" spans="2:16" ht="16">
      <c r="B97" s="327"/>
    </row>
    <row r="98" spans="2:16" ht="16">
      <c r="B98" s="348" t="s">
        <v>92</v>
      </c>
      <c r="C98" s="348"/>
      <c r="E98" s="305" t="s">
        <v>744</v>
      </c>
      <c r="F98" s="305" t="s">
        <v>745</v>
      </c>
      <c r="G98" s="305" t="s">
        <v>93</v>
      </c>
      <c r="I98" s="308" t="s">
        <v>94</v>
      </c>
      <c r="J98" s="307" t="s">
        <v>95</v>
      </c>
      <c r="K98" s="308" t="s">
        <v>96</v>
      </c>
      <c r="M98" s="338" t="s">
        <v>87</v>
      </c>
      <c r="N98" s="338" t="s">
        <v>88</v>
      </c>
    </row>
    <row r="99" spans="2:16" ht="16">
      <c r="B99" s="249" t="str" cm="1">
        <f t="array" ref="B99:B103">Index_Sleeve[Positions]</f>
        <v>RDVY - First Trust Rising Div Ach</v>
      </c>
      <c r="C99" s="250" cm="1">
        <f t="array" ref="C99:C103">Index_Sleeve[%]</f>
        <v>0.47</v>
      </c>
      <c r="E99" s="322"/>
      <c r="F99" s="331">
        <f>$B$39*E99</f>
        <v>0</v>
      </c>
      <c r="G99" s="291"/>
      <c r="I99" s="247" t="str">
        <f>LEFT(B99, FIND(" ",B99) - 1)</f>
        <v>RDVY</v>
      </c>
      <c r="J99" s="291"/>
      <c r="K99" s="331">
        <f>IF($G$99="Yes", $F$99*J99, $F$99*C99)</f>
        <v>0</v>
      </c>
      <c r="M99" s="248" t="str">
        <f>I99</f>
        <v>RDVY</v>
      </c>
      <c r="N99" s="337">
        <f>IF($E$99&lt;&gt;0, IF($G$99&lt;&gt;"Yes", C99*$F$99, J99*$F$99), 0)</f>
        <v>0</v>
      </c>
    </row>
    <row r="100" spans="2:16" ht="16">
      <c r="B100" s="249" t="str">
        <v>NESIX - Needham Small Cap Growth</v>
      </c>
      <c r="C100" s="250">
        <v>0.18</v>
      </c>
      <c r="G100" s="301"/>
      <c r="I100" s="247" t="str">
        <f>LEFT(B100, FIND(" ", B100) - 1)</f>
        <v>NESIX</v>
      </c>
      <c r="J100" s="291"/>
      <c r="K100" s="331">
        <f>IF($G$99="Yes", $F$99*J100, $F$99*C100)</f>
        <v>0</v>
      </c>
      <c r="M100" s="248" t="str">
        <f>I100</f>
        <v>NESIX</v>
      </c>
      <c r="N100" s="331">
        <f>IF($E$99&lt;&gt;0, IF($G$99&lt;&gt;"Yes", C100*$F$99, J100*$F$99), 0)</f>
        <v>0</v>
      </c>
    </row>
    <row r="101" spans="2:16" ht="16">
      <c r="B101" s="249" t="str">
        <v>JVMIX - JHancock Disc Value Mid Cap</v>
      </c>
      <c r="C101" s="250">
        <v>0.14000000000000001</v>
      </c>
      <c r="E101" s="177"/>
      <c r="F101" s="177"/>
      <c r="I101" s="247" t="str">
        <f>LEFT(B101, FIND(" ", B101) - 1)</f>
        <v>JVMIX</v>
      </c>
      <c r="J101" s="291"/>
      <c r="K101" s="331">
        <f>IF($G$99="Yes", $F$99*J101, $F$99*C101)</f>
        <v>0</v>
      </c>
      <c r="M101" s="248" t="str">
        <f>I101</f>
        <v>JVMIX</v>
      </c>
      <c r="N101" s="331">
        <f>IF($E$99&lt;&gt;0, IF($G$99&lt;&gt;"Yes", C101*$F$99, J101*$F$99), 0)</f>
        <v>0</v>
      </c>
    </row>
    <row r="102" spans="2:16" ht="16">
      <c r="B102" s="249" t="str">
        <v>UBVSX - Undisc Managers Behavioral</v>
      </c>
      <c r="C102" s="250">
        <v>0.12</v>
      </c>
      <c r="I102" s="247" t="str">
        <f>LEFT(B102, FIND(" ", B102) - 1)</f>
        <v>UBVSX</v>
      </c>
      <c r="J102" s="291"/>
      <c r="K102" s="331">
        <f>IF($G$99="Yes", $F$99*J102, $F$99*C102)</f>
        <v>0</v>
      </c>
      <c r="M102" s="248" t="str">
        <f>I102</f>
        <v>UBVSX</v>
      </c>
      <c r="N102" s="331">
        <f>IF($E$99&lt;&gt;0, IF($G$99&lt;&gt;"Yes", C102*$F$99, J102*$F$99), 0)</f>
        <v>0</v>
      </c>
    </row>
    <row r="103" spans="2:16" ht="16">
      <c r="B103" s="249" t="str">
        <v>HLGEX - JP Morgan Mid Cap Growth</v>
      </c>
      <c r="C103" s="250">
        <v>0.09</v>
      </c>
      <c r="I103" s="247" t="str">
        <f>LEFT(B103, FIND(" ", B103) - 1)</f>
        <v>HLGEX</v>
      </c>
      <c r="J103" s="291"/>
      <c r="K103" s="331">
        <f>IF($G$99="Yes", $F$99*J103, $F$99*C103)</f>
        <v>0</v>
      </c>
      <c r="M103" s="248" t="str">
        <f>I103</f>
        <v>HLGEX</v>
      </c>
      <c r="N103" s="331">
        <f>IF($E$99&lt;&gt;0, IF($G$99&lt;&gt;"Yes", C103*$F$99, J103*$F$99), 0)</f>
        <v>0</v>
      </c>
    </row>
    <row r="104" spans="2:16" ht="16">
      <c r="B104" s="327"/>
    </row>
    <row r="105" spans="2:16" ht="16">
      <c r="B105" s="348" t="s">
        <v>97</v>
      </c>
      <c r="C105" s="348"/>
      <c r="E105" s="305" t="s">
        <v>746</v>
      </c>
      <c r="F105" s="305" t="s">
        <v>747</v>
      </c>
      <c r="G105" s="305" t="s">
        <v>98</v>
      </c>
      <c r="I105" s="308" t="s">
        <v>94</v>
      </c>
      <c r="J105" s="307" t="s">
        <v>95</v>
      </c>
      <c r="K105" s="308" t="s">
        <v>96</v>
      </c>
      <c r="M105" s="338" t="s">
        <v>87</v>
      </c>
      <c r="N105" s="338" t="s">
        <v>88</v>
      </c>
    </row>
    <row r="106" spans="2:16" ht="16">
      <c r="B106" s="249" t="str" cm="1">
        <f t="array" ref="B106:B109">Index_w_SN_Sleeve[Positions]</f>
        <v>IEFA - BR iShares Core MSCI EAFE</v>
      </c>
      <c r="C106" s="250" cm="1">
        <f t="array" ref="C106:C109">Index_w_SN_Sleeve[%]</f>
        <v>0.15</v>
      </c>
      <c r="E106" s="322"/>
      <c r="F106" s="331">
        <f>$B$39*E106</f>
        <v>0</v>
      </c>
      <c r="G106" s="291"/>
      <c r="I106" s="247" t="str">
        <f>LEFT(B106, FIND(" ", B106) - 1)</f>
        <v>IEFA</v>
      </c>
      <c r="J106" s="291"/>
      <c r="K106" s="331">
        <f>IF($G$106="Yes", $F$106*J106, $F$106*C106)</f>
        <v>0</v>
      </c>
      <c r="M106" s="248" t="str">
        <f>I106</f>
        <v>IEFA</v>
      </c>
      <c r="N106" s="337">
        <f>IF($E$106&lt;&gt;0, IF($G$106&lt;&gt;"Yes", C106*$F$106, J106*$F$106), 0)</f>
        <v>0</v>
      </c>
    </row>
    <row r="107" spans="2:16" ht="16">
      <c r="B107" s="249" t="str">
        <v>PDEZX - PGIM Jenn Emr Mkts Eq Opp</v>
      </c>
      <c r="C107" s="250">
        <v>0.25</v>
      </c>
      <c r="I107" s="247" t="str">
        <f>LEFT(B107, FIND(" ", B107) - 1)</f>
        <v>PDEZX</v>
      </c>
      <c r="J107" s="291"/>
      <c r="K107" s="331">
        <f>IF($G$106="Yes", $F$106*J107, $F$106*C107)</f>
        <v>0</v>
      </c>
      <c r="M107" s="248" t="str">
        <f>I107</f>
        <v>PDEZX</v>
      </c>
      <c r="N107" s="331">
        <f>IF($E$106&lt;&gt;0, IF($G$106&lt;&gt;"Yes", C107*$F$106, J107*$F$106), 0)</f>
        <v>0</v>
      </c>
      <c r="P107" s="336"/>
    </row>
    <row r="108" spans="2:16" ht="16">
      <c r="B108" s="249" t="str">
        <v>IJH - BR iShares Core Mid Cap</v>
      </c>
      <c r="C108" s="250">
        <v>0.3</v>
      </c>
      <c r="I108" s="247" t="str">
        <f>LEFT(B108, FIND(" ", B108) - 1)</f>
        <v>IJH</v>
      </c>
      <c r="J108" s="291"/>
      <c r="K108" s="331">
        <f>IF($G$106="Yes", $F$106*J108, $F$106*C108)</f>
        <v>0</v>
      </c>
      <c r="M108" s="248" t="str">
        <f>I108</f>
        <v>IJH</v>
      </c>
      <c r="N108" s="331">
        <f>IF($E$106&lt;&gt;0, IF($G$106&lt;&gt;"Yes", C108*$F$106, J108*$F$106), 0)</f>
        <v>0</v>
      </c>
    </row>
    <row r="109" spans="2:16" ht="16">
      <c r="B109" s="249" t="str">
        <v>IJR - BR iShares Core Small Cap</v>
      </c>
      <c r="C109" s="250">
        <v>0.3</v>
      </c>
      <c r="I109" s="247" t="str">
        <f>LEFT(B109, FIND(" ", B109) - 1)</f>
        <v>IJR</v>
      </c>
      <c r="J109" s="291"/>
      <c r="K109" s="331">
        <f>IF($G$106="Yes", $F$106*J109, $F$106*C109)</f>
        <v>0</v>
      </c>
      <c r="M109" s="248" t="str">
        <f>I109</f>
        <v>IJR</v>
      </c>
      <c r="N109" s="331">
        <f>IF($E$106&lt;&gt;0, IF($G$106&lt;&gt;"Yes", C109*$F$106, J109*$F$106), 0)</f>
        <v>0</v>
      </c>
      <c r="P109" s="336"/>
    </row>
    <row r="110" spans="2:16" ht="16">
      <c r="B110" s="327"/>
    </row>
    <row r="111" spans="2:16" ht="16">
      <c r="B111" s="348" t="s">
        <v>99</v>
      </c>
      <c r="C111" s="348"/>
      <c r="E111" s="305" t="s">
        <v>748</v>
      </c>
      <c r="F111" s="305" t="s">
        <v>749</v>
      </c>
      <c r="G111" s="305" t="s">
        <v>98</v>
      </c>
      <c r="I111" s="308" t="s">
        <v>94</v>
      </c>
      <c r="J111" s="307" t="s">
        <v>95</v>
      </c>
      <c r="K111" s="308" t="s">
        <v>96</v>
      </c>
      <c r="M111" s="338" t="s">
        <v>87</v>
      </c>
      <c r="N111" s="338" t="s">
        <v>88</v>
      </c>
    </row>
    <row r="112" spans="2:16" ht="16">
      <c r="B112" s="249" t="str" cm="1">
        <f t="array" ref="B112:B114">Growth_Sleeve[Positions]</f>
        <v>NESIX - Needham Small Cap Growth</v>
      </c>
      <c r="C112" s="250" cm="1">
        <f t="array" ref="C112:C114">Growth_Sleeve[%]</f>
        <v>0.42</v>
      </c>
      <c r="E112" s="322"/>
      <c r="F112" s="331">
        <f>$B$39*E112</f>
        <v>0</v>
      </c>
      <c r="G112" s="291"/>
      <c r="I112" s="247" t="str">
        <f>LEFT(B112, FIND(" ", B112) - 1)</f>
        <v>NESIX</v>
      </c>
      <c r="J112" s="291"/>
      <c r="K112" s="331">
        <f>IF($G$112="Yes", $F$112*J112, $F$112*C112)</f>
        <v>0</v>
      </c>
      <c r="M112" s="248" t="str">
        <f>I112</f>
        <v>NESIX</v>
      </c>
      <c r="N112" s="337">
        <f>IF($E$112&lt;&gt;0, IF($G$112&lt;&gt;"Yes", C112*$F$112, J112*$F$112), 0)</f>
        <v>0</v>
      </c>
    </row>
    <row r="113" spans="2:14" ht="16">
      <c r="B113" s="249" t="str">
        <v>PRJZX - PGIM Jenn Global Opp</v>
      </c>
      <c r="C113" s="250">
        <v>0.4</v>
      </c>
      <c r="I113" s="247" t="str">
        <f>LEFT(B113, FIND(" ", B113) - 1)</f>
        <v>PRJZX</v>
      </c>
      <c r="J113" s="291"/>
      <c r="K113" s="331">
        <f>IF($G$112="Yes", $F$112*J113, $F$112*C113)</f>
        <v>0</v>
      </c>
      <c r="M113" s="248" t="str">
        <f>I113</f>
        <v>PRJZX</v>
      </c>
      <c r="N113" s="331">
        <f>IF($E$112&lt;&gt;0, IF($G$112&lt;&gt;"Yes", C113*$F$112, J113*$F$112), 0)</f>
        <v>0</v>
      </c>
    </row>
    <row r="114" spans="2:14" ht="16">
      <c r="B114" s="249" t="str">
        <v>HLGEX - JP Morgan Mid Cap Growth</v>
      </c>
      <c r="C114" s="250">
        <v>0.18</v>
      </c>
      <c r="I114" s="247" t="str">
        <f>LEFT(B114, FIND(" ", B114) - 1)</f>
        <v>HLGEX</v>
      </c>
      <c r="J114" s="291"/>
      <c r="K114" s="331">
        <f>IF($G$112="Yes", $F$112*J114, $F$112*C114)</f>
        <v>0</v>
      </c>
      <c r="M114" s="248" t="str">
        <f>I114</f>
        <v>HLGEX</v>
      </c>
      <c r="N114" s="331">
        <f>IF($E$112&lt;&gt;0, IF($G$112&lt;&gt;"Yes", C114*$F$112, J114*$F$112), 0)</f>
        <v>0</v>
      </c>
    </row>
    <row r="115" spans="2:14" ht="16">
      <c r="B115" s="327"/>
    </row>
    <row r="116" spans="2:14" ht="16">
      <c r="B116" s="348" t="s">
        <v>104</v>
      </c>
      <c r="C116" s="348"/>
      <c r="E116" s="305" t="s">
        <v>750</v>
      </c>
      <c r="F116" s="305" t="s">
        <v>751</v>
      </c>
      <c r="G116" s="305" t="s">
        <v>98</v>
      </c>
      <c r="I116" s="308" t="s">
        <v>94</v>
      </c>
      <c r="J116" s="307" t="s">
        <v>95</v>
      </c>
      <c r="K116" s="308" t="s">
        <v>96</v>
      </c>
      <c r="M116" s="338" t="s">
        <v>87</v>
      </c>
      <c r="N116" s="338" t="s">
        <v>88</v>
      </c>
    </row>
    <row r="117" spans="2:14" ht="16">
      <c r="B117" s="249" t="str" cm="1">
        <f t="array" ref="B117:B120">Equity_Income_Less_Than_1M_Sleeve[Positions]</f>
        <v>KNG - FT Cboe Vest S&amp;P 500® Dividend Aristocrats Target Income ETF®</v>
      </c>
      <c r="C117" s="250" cm="1">
        <f t="array" ref="C117:C120">Equity_Income_Less_Than_1M_Sleeve[%]</f>
        <v>0.3</v>
      </c>
      <c r="E117" s="322"/>
      <c r="F117" s="331">
        <f>$B$39*E117</f>
        <v>0</v>
      </c>
      <c r="G117" s="291"/>
      <c r="I117" s="247" t="str">
        <f>LEFT(B117, FIND(" ", B117) - 1)</f>
        <v>KNG</v>
      </c>
      <c r="J117" s="291"/>
      <c r="K117" s="331">
        <f>IF($G$117="Yes", $F$117*J117, $F$117*C117)</f>
        <v>0</v>
      </c>
      <c r="M117" s="248" t="str">
        <f>I117</f>
        <v>KNG</v>
      </c>
      <c r="N117" s="337">
        <f>IF($E$117&lt;&gt;0, IF($G$117&lt;&gt;"Yes", C117*$F$117, J117*$F$117), 0)</f>
        <v>0</v>
      </c>
    </row>
    <row r="118" spans="2:14" ht="16">
      <c r="B118" s="249" t="str">
        <v>JEPIX - JP Morgan Equity Prem Inc I</v>
      </c>
      <c r="C118" s="250">
        <v>0.3</v>
      </c>
      <c r="I118" s="247" t="str">
        <f>LEFT(B118, FIND(" ", B118) - 1)</f>
        <v>JEPIX</v>
      </c>
      <c r="J118" s="291"/>
      <c r="K118" s="331">
        <f>IF($G$117="Yes", $F$117*J118, $F$117*C118)</f>
        <v>0</v>
      </c>
      <c r="M118" s="248" t="str">
        <f>I118</f>
        <v>JEPIX</v>
      </c>
      <c r="N118" s="331">
        <f>IF($E$117&lt;&gt;0, IF($G$117&lt;&gt;"Yes", C118*$F$117, J118*$F$117), 0)</f>
        <v>0</v>
      </c>
    </row>
    <row r="119" spans="2:14" ht="16">
      <c r="B119" s="249" t="str">
        <v>ARCC - Ares Capital Corp</v>
      </c>
      <c r="C119" s="250">
        <v>0.2</v>
      </c>
      <c r="I119" s="247" t="str">
        <f>LEFT(B119, FIND(" ", B119) - 1)</f>
        <v>ARCC</v>
      </c>
      <c r="J119" s="291"/>
      <c r="K119" s="331">
        <f>IF($G$117="Yes", $F$117*J119, $F$117*C119)</f>
        <v>0</v>
      </c>
      <c r="M119" s="248" t="str">
        <f>I119</f>
        <v>ARCC</v>
      </c>
      <c r="N119" s="331">
        <f>IF($E$117&lt;&gt;0, IF($G$117&lt;&gt;"Yes", C119*$F$117, J119*$F$117), 0)</f>
        <v>0</v>
      </c>
    </row>
    <row r="120" spans="2:14" ht="16">
      <c r="B120" s="249" t="str">
        <v>GBDC - Golub Capital</v>
      </c>
      <c r="C120" s="250">
        <v>0.2</v>
      </c>
      <c r="I120" s="247" t="str">
        <f>LEFT(B120, FIND(" ", B120) - 1)</f>
        <v>GBDC</v>
      </c>
      <c r="J120" s="291"/>
      <c r="K120" s="331">
        <f>IF($G$117="Yes", $F$117*J120, $F$117*C120)</f>
        <v>0</v>
      </c>
      <c r="M120" s="248" t="str">
        <f>I120</f>
        <v>GBDC</v>
      </c>
      <c r="N120" s="331">
        <f>IF($E$117&lt;&gt;0, IF($G$117&lt;&gt;"Yes", C120*$F$117, J120*$F$117), 0)</f>
        <v>0</v>
      </c>
    </row>
    <row r="121" spans="2:14">
      <c r="C121" s="177"/>
      <c r="M121" s="232"/>
    </row>
    <row r="122" spans="2:14" ht="16">
      <c r="B122" s="348" t="s">
        <v>105</v>
      </c>
      <c r="C122" s="348"/>
      <c r="E122" s="305" t="s">
        <v>752</v>
      </c>
      <c r="F122" s="305" t="s">
        <v>753</v>
      </c>
      <c r="G122" s="305" t="s">
        <v>98</v>
      </c>
      <c r="I122" s="308" t="s">
        <v>94</v>
      </c>
      <c r="J122" s="307" t="s">
        <v>95</v>
      </c>
      <c r="K122" s="308" t="s">
        <v>96</v>
      </c>
      <c r="M122" s="338" t="s">
        <v>87</v>
      </c>
      <c r="N122" s="338" t="s">
        <v>88</v>
      </c>
    </row>
    <row r="123" spans="2:14" ht="16">
      <c r="B123" s="249" t="str" cm="1">
        <f t="array" ref="B123:B128">Equity_Income_Greater_Than_1M_Sleeve[Positions]</f>
        <v>KNG - FT Cboe Vest S&amp;P 500® Dividend Aristocrats Target Income ETF®</v>
      </c>
      <c r="C123" s="250" cm="1">
        <f t="array" ref="C123:C128">Equity_Income_Greater_Than_1M_Sleeve[%]</f>
        <v>0.3</v>
      </c>
      <c r="E123" s="322"/>
      <c r="F123" s="331">
        <f>$B$39*E123</f>
        <v>0</v>
      </c>
      <c r="G123" s="291"/>
      <c r="I123" s="247" t="str">
        <f t="shared" ref="I123:I128" si="6">LEFT(B123, FIND(" ", B123) - 1)</f>
        <v>KNG</v>
      </c>
      <c r="J123" s="291"/>
      <c r="K123" s="331">
        <f t="shared" ref="K123:K128" si="7">IF($G$123="Yes", $F$123*J123, $F$123*C123)</f>
        <v>0</v>
      </c>
      <c r="M123" s="248" t="str">
        <f t="shared" ref="M123:M128" si="8">I123</f>
        <v>KNG</v>
      </c>
      <c r="N123" s="337">
        <f t="shared" ref="N123:N128" si="9">IF($E$123&lt;&gt;0, IF($G$123&lt;&gt;"Yes", C123*$F$123, J123*$F$123), 0)</f>
        <v>0</v>
      </c>
    </row>
    <row r="124" spans="2:14" ht="16">
      <c r="B124" s="249" t="str">
        <v>JEPIX - JP Morgan Equity Prem Inc I</v>
      </c>
      <c r="C124" s="250">
        <v>0.3</v>
      </c>
      <c r="I124" s="247" t="str">
        <f t="shared" si="6"/>
        <v>JEPIX</v>
      </c>
      <c r="J124" s="291"/>
      <c r="K124" s="331">
        <f t="shared" si="7"/>
        <v>0</v>
      </c>
      <c r="M124" s="248" t="str">
        <f t="shared" si="8"/>
        <v>JEPIX</v>
      </c>
      <c r="N124" s="331">
        <f t="shared" si="9"/>
        <v>0</v>
      </c>
    </row>
    <row r="125" spans="2:14" ht="16">
      <c r="B125" s="249" t="str">
        <v>ARCC - Ares Capital Corp</v>
      </c>
      <c r="C125" s="250">
        <v>0.1</v>
      </c>
      <c r="I125" s="247" t="str">
        <f t="shared" si="6"/>
        <v>ARCC</v>
      </c>
      <c r="J125" s="291"/>
      <c r="K125" s="331">
        <f t="shared" si="7"/>
        <v>0</v>
      </c>
      <c r="M125" s="248" t="str">
        <f t="shared" si="8"/>
        <v>ARCC</v>
      </c>
      <c r="N125" s="331">
        <f t="shared" si="9"/>
        <v>0</v>
      </c>
    </row>
    <row r="126" spans="2:14" ht="16">
      <c r="B126" s="249" t="str">
        <v>GBDC - Golub Capital</v>
      </c>
      <c r="C126" s="250">
        <v>0.1</v>
      </c>
      <c r="I126" s="247" t="str">
        <f t="shared" si="6"/>
        <v>GBDC</v>
      </c>
      <c r="J126" s="291"/>
      <c r="K126" s="331">
        <f t="shared" si="7"/>
        <v>0</v>
      </c>
      <c r="M126" s="248" t="str">
        <f t="shared" si="8"/>
        <v>GBDC</v>
      </c>
      <c r="N126" s="331">
        <f t="shared" si="9"/>
        <v>0</v>
      </c>
    </row>
    <row r="127" spans="2:14" ht="16" customHeight="1">
      <c r="B127" s="249" t="str">
        <v>ORCC - Owl Rock Capital Corp</v>
      </c>
      <c r="C127" s="250">
        <v>0.1</v>
      </c>
      <c r="I127" s="247" t="str">
        <f t="shared" si="6"/>
        <v>ORCC</v>
      </c>
      <c r="J127" s="291"/>
      <c r="K127" s="331">
        <f t="shared" si="7"/>
        <v>0</v>
      </c>
      <c r="M127" s="248" t="str">
        <f t="shared" si="8"/>
        <v>ORCC</v>
      </c>
      <c r="N127" s="331">
        <f t="shared" si="9"/>
        <v>0</v>
      </c>
    </row>
    <row r="128" spans="2:14" ht="16">
      <c r="B128" s="249" t="str">
        <v>TSLX - Sixth Street Specialty Lending</v>
      </c>
      <c r="C128" s="250">
        <v>0.1</v>
      </c>
      <c r="I128" s="247" t="str">
        <f t="shared" si="6"/>
        <v>TSLX</v>
      </c>
      <c r="J128" s="291"/>
      <c r="K128" s="331">
        <f t="shared" si="7"/>
        <v>0</v>
      </c>
      <c r="M128" s="248" t="str">
        <f t="shared" si="8"/>
        <v>TSLX</v>
      </c>
      <c r="N128" s="331">
        <f t="shared" si="9"/>
        <v>0</v>
      </c>
    </row>
    <row r="130" spans="2:14" ht="16">
      <c r="B130" s="348" t="s">
        <v>106</v>
      </c>
      <c r="C130" s="348"/>
      <c r="E130" s="305" t="s">
        <v>754</v>
      </c>
      <c r="F130" s="305" t="s">
        <v>755</v>
      </c>
      <c r="G130" s="305" t="s">
        <v>98</v>
      </c>
      <c r="I130" s="308" t="s">
        <v>94</v>
      </c>
      <c r="J130" s="307" t="s">
        <v>95</v>
      </c>
      <c r="K130" s="308" t="s">
        <v>96</v>
      </c>
      <c r="M130" s="338" t="s">
        <v>87</v>
      </c>
      <c r="N130" s="338" t="s">
        <v>88</v>
      </c>
    </row>
    <row r="131" spans="2:14" ht="16">
      <c r="B131" s="249" t="str" cm="1">
        <f t="array" ref="B131">Real_Estate_Sleeve[Positions]</f>
        <v>JARIX - Easterly Global Real Estate I</v>
      </c>
      <c r="C131" s="250" cm="1">
        <f t="array" ref="C131">Real_Estate_Sleeve[%]</f>
        <v>1</v>
      </c>
      <c r="E131" s="322"/>
      <c r="F131" s="331">
        <f>$B$39*E131</f>
        <v>0</v>
      </c>
      <c r="G131" s="291"/>
      <c r="I131" s="247" t="str">
        <f>LEFT(B131, FIND(" ", B131) - 1)</f>
        <v>JARIX</v>
      </c>
      <c r="J131" s="291"/>
      <c r="K131" s="331">
        <f>IF($G$131="Yes", $F$131*J131, $F$131*C131)</f>
        <v>0</v>
      </c>
      <c r="M131" s="248" t="str">
        <f>I131</f>
        <v>JARIX</v>
      </c>
      <c r="N131" s="337">
        <f>IF($E$131&lt;&gt;0, IF($G$131&lt;&gt;"Yes", C131*$F$131, J131*$F$131), 0)</f>
        <v>0</v>
      </c>
    </row>
    <row r="132" spans="2:14" ht="18" customHeight="1">
      <c r="C132" s="177"/>
      <c r="M132" s="232"/>
    </row>
    <row r="133" spans="2:14" ht="18" customHeight="1">
      <c r="B133" s="349" t="s">
        <v>107</v>
      </c>
      <c r="C133" s="349"/>
      <c r="E133" s="305" t="s">
        <v>756</v>
      </c>
      <c r="F133" s="305" t="s">
        <v>757</v>
      </c>
      <c r="G133" s="305" t="s">
        <v>98</v>
      </c>
      <c r="I133" s="308" t="s">
        <v>94</v>
      </c>
      <c r="J133" s="307" t="s">
        <v>95</v>
      </c>
      <c r="K133" s="308" t="s">
        <v>96</v>
      </c>
      <c r="M133" s="338" t="s">
        <v>87</v>
      </c>
      <c r="N133" s="338" t="s">
        <v>88</v>
      </c>
    </row>
    <row r="134" spans="2:14" ht="18" customHeight="1">
      <c r="B134" s="249" t="str" cm="1">
        <f t="array" ref="B134:B142">Opportunistic_Sleeve[Positions]</f>
        <v>Growth:</v>
      </c>
      <c r="C134" s="250" cm="1">
        <f t="array" ref="C134:C142">Opportunistic_Sleeve[%]</f>
        <v>0.5</v>
      </c>
      <c r="E134" s="322"/>
      <c r="F134" s="331">
        <f>$B$39*E134</f>
        <v>0</v>
      </c>
      <c r="G134" s="342"/>
      <c r="I134" s="247" t="s">
        <v>108</v>
      </c>
      <c r="J134" s="291"/>
      <c r="K134" s="331">
        <f>IF($G$134="Yes", $F$134*J134, $F$134*C134)</f>
        <v>0</v>
      </c>
      <c r="M134" s="248" t="str">
        <f t="shared" ref="M134:M142" si="10">I134</f>
        <v>Growth</v>
      </c>
      <c r="N134" s="337">
        <f>IF($E$134&lt;&gt;0, IF($G$134&lt;&gt;"Yes", C134*$F$134, J134*$F$134), 0)</f>
        <v>0</v>
      </c>
    </row>
    <row r="135" spans="2:14" ht="18" customHeight="1">
      <c r="B135" s="251" t="str">
        <v>ARKF - Ark Fintech Innovation ETF</v>
      </c>
      <c r="C135" s="252">
        <v>0.35</v>
      </c>
      <c r="I135" s="247" t="str">
        <f>LEFT(B135, FIND(" ", B135) - 1)</f>
        <v>ARKF</v>
      </c>
      <c r="J135" s="292"/>
      <c r="K135" s="331">
        <f>IF($G$134="Yes", J134*$F$134*J135, C134*$F$134*C135)</f>
        <v>0</v>
      </c>
      <c r="M135" s="248" t="str">
        <f t="shared" si="10"/>
        <v>ARKF</v>
      </c>
      <c r="N135" s="331">
        <f>IF($E$134&lt;&gt;0, IF($G$134&lt;&gt;"Yes", C134*C135*$F$134, J134*J135*$F$134), 0)</f>
        <v>0</v>
      </c>
    </row>
    <row r="136" spans="2:14" ht="18" customHeight="1">
      <c r="B136" s="251" t="str">
        <v>NESIX - Needham Small Cap Growth</v>
      </c>
      <c r="C136" s="252">
        <v>0.22</v>
      </c>
      <c r="E136" s="177"/>
      <c r="F136" s="177"/>
      <c r="I136" s="247" t="str">
        <f>LEFT(B136, FIND(" ", B136) - 1)</f>
        <v>NESIX</v>
      </c>
      <c r="J136" s="292"/>
      <c r="K136" s="331">
        <f>IF($G$134="Yes", J134*$F$134*J136, C134*$F$134*C136)</f>
        <v>0</v>
      </c>
      <c r="M136" s="248" t="str">
        <f t="shared" si="10"/>
        <v>NESIX</v>
      </c>
      <c r="N136" s="331">
        <f>IF($E$134&lt;&gt;0, IF($G$134&lt;&gt;"Yes", C134*C136*$F$134, J134*J136*$F$134), 0)</f>
        <v>0</v>
      </c>
    </row>
    <row r="137" spans="2:14" ht="18" customHeight="1">
      <c r="B137" s="251" t="str">
        <v>HLGEX - JP Morgan Mid Cap Growth</v>
      </c>
      <c r="C137" s="252">
        <v>0.08</v>
      </c>
      <c r="E137" s="177"/>
      <c r="F137" s="177"/>
      <c r="I137" s="247" t="str">
        <f>LEFT(B137, FIND(" ", B137) - 1)</f>
        <v>HLGEX</v>
      </c>
      <c r="J137" s="292"/>
      <c r="K137" s="331">
        <f>IF($G$134="Yes", J134*$F$134*J137, C134*$F$134*C137)</f>
        <v>0</v>
      </c>
      <c r="M137" s="248" t="str">
        <f t="shared" si="10"/>
        <v>HLGEX</v>
      </c>
      <c r="N137" s="331">
        <f>IF($E$134&lt;&gt;0, IF($G$134&lt;&gt;"Yes", C134*C137*$F$134, J134*J137*$F$134), 0)</f>
        <v>0</v>
      </c>
    </row>
    <row r="138" spans="2:14" ht="18" customHeight="1">
      <c r="B138" s="251" t="str">
        <v>PRJZX - PGIM Jenn Global Opp</v>
      </c>
      <c r="C138" s="252">
        <v>0.2</v>
      </c>
      <c r="E138" s="177"/>
      <c r="F138" s="177"/>
      <c r="I138" s="247" t="str">
        <f>LEFT(B138, FIND(" ", B138 &amp; " ", FIND(" ", B138) + 1) - 3)</f>
        <v>PRJZX</v>
      </c>
      <c r="J138" s="292"/>
      <c r="K138" s="331">
        <f>IF($G$134="Yes", J134*$F$134*J138, C134*$F$134*C138)</f>
        <v>0</v>
      </c>
      <c r="M138" s="248" t="str">
        <f t="shared" si="10"/>
        <v>PRJZX</v>
      </c>
      <c r="N138" s="331">
        <f>IF($E$134&lt;&gt;0, IF($G$134&lt;&gt;"Yes", C134*C138*$F$134, J134*J138*$F$134), 0)</f>
        <v>0</v>
      </c>
    </row>
    <row r="139" spans="2:14" ht="18" customHeight="1">
      <c r="B139" s="251" t="str">
        <v>Individual Stocks  (ZS)</v>
      </c>
      <c r="C139" s="252">
        <v>0.15</v>
      </c>
      <c r="I139" s="247" t="s">
        <v>109</v>
      </c>
      <c r="J139" s="292"/>
      <c r="K139" s="331">
        <f>IF($G$134="Yes", J134*$F$134*J139, C134*$F$134*C139)</f>
        <v>0</v>
      </c>
      <c r="M139" s="248" t="str">
        <f t="shared" si="10"/>
        <v>ZS</v>
      </c>
      <c r="N139" s="331">
        <f>IF($E$134&lt;&gt;0, IF($G$134&lt;&gt;"Yes", C134*C139*$F$134, J134*J139*$F$134), 0)</f>
        <v>0</v>
      </c>
    </row>
    <row r="140" spans="2:14" ht="18" customHeight="1">
      <c r="B140" s="249" t="str">
        <v>REITS</v>
      </c>
      <c r="C140" s="250">
        <v>0.2</v>
      </c>
      <c r="I140" s="247" t="s">
        <v>110</v>
      </c>
      <c r="J140" s="292"/>
      <c r="K140" s="331">
        <f>IF($G$134="Yes", $F$134*J140, $F$134*C140)</f>
        <v>0</v>
      </c>
      <c r="M140" s="248" t="str">
        <f t="shared" si="10"/>
        <v>REITS</v>
      </c>
      <c r="N140" s="331">
        <f>IF($E$134&lt;&gt;0, IF($G$134&lt;&gt;"Yes", C140*$F$134, J140*$F$134), 0)</f>
        <v>0</v>
      </c>
    </row>
    <row r="141" spans="2:14" ht="18" customHeight="1">
      <c r="B141" s="249" t="str">
        <v>BDC</v>
      </c>
      <c r="C141" s="250">
        <v>0.2</v>
      </c>
      <c r="I141" s="247" t="s">
        <v>111</v>
      </c>
      <c r="J141" s="292"/>
      <c r="K141" s="331">
        <f>IF($G$134="Yes", $F$134*J141, $F$134*C141)</f>
        <v>0</v>
      </c>
      <c r="M141" s="248" t="str">
        <f t="shared" si="10"/>
        <v>BDC</v>
      </c>
      <c r="N141" s="331">
        <f>IF($E$134&lt;&gt;0, IF($G$134&lt;&gt;"Yes", C141*$F$134, J141*$F$134), 0)</f>
        <v>0</v>
      </c>
    </row>
    <row r="142" spans="2:14" ht="18" customHeight="1">
      <c r="B142" s="249" t="str">
        <v>Misc</v>
      </c>
      <c r="C142" s="250">
        <v>0.1</v>
      </c>
      <c r="I142" s="247" t="s">
        <v>112</v>
      </c>
      <c r="J142" s="292"/>
      <c r="K142" s="331">
        <f>IF($G$134="Yes", $F$134*J142, $F$134*C142)</f>
        <v>0</v>
      </c>
      <c r="M142" s="248" t="str">
        <f t="shared" si="10"/>
        <v>Misc</v>
      </c>
      <c r="N142" s="331">
        <f>IF($E$134&lt;&gt;0, IF($G$134&lt;&gt;"Yes", C142*$F$134, J142*$F$134), 0)</f>
        <v>0</v>
      </c>
    </row>
    <row r="143" spans="2:14" ht="13" customHeight="1">
      <c r="M143"/>
    </row>
    <row r="144" spans="2:14" ht="16">
      <c r="B144" s="348" t="s">
        <v>113</v>
      </c>
      <c r="C144" s="348"/>
      <c r="E144" s="305" t="s">
        <v>726</v>
      </c>
      <c r="F144" s="305" t="s">
        <v>758</v>
      </c>
      <c r="G144" s="305" t="s">
        <v>98</v>
      </c>
      <c r="I144" s="308" t="s">
        <v>94</v>
      </c>
      <c r="J144" s="307" t="s">
        <v>95</v>
      </c>
      <c r="K144" s="308" t="s">
        <v>96</v>
      </c>
      <c r="M144" s="338" t="s">
        <v>87</v>
      </c>
      <c r="N144" s="338" t="s">
        <v>88</v>
      </c>
    </row>
    <row r="145" spans="2:26" ht="16">
      <c r="B145" s="249" t="str" cm="1">
        <f t="array" ref="B145:B146">Cash_Sleeve[Positions]</f>
        <v>PLJXX - Money Market Fund</v>
      </c>
      <c r="C145" s="250" cm="1">
        <f t="array" ref="C145:C146">Cash_Sleeve[%]</f>
        <v>0.5</v>
      </c>
      <c r="E145" s="322"/>
      <c r="F145" s="331">
        <f>$B$30*E145</f>
        <v>0</v>
      </c>
      <c r="G145" s="291"/>
      <c r="I145" s="247" t="str">
        <f>LEFT(B145, FIND(" ", B145) - 1)</f>
        <v>PLJXX</v>
      </c>
      <c r="J145" s="291"/>
      <c r="K145" s="331">
        <f>IF($G$145="Yes", $F$145*J145, $F$145*C145)</f>
        <v>0</v>
      </c>
      <c r="M145" s="248" t="str">
        <f>I145</f>
        <v>PLJXX</v>
      </c>
      <c r="N145" s="337">
        <f>IF($E$145&lt;&gt;0, IF($G$145&lt;&gt;"Yes", C145*$F$145, J145*$F$145), 0)</f>
        <v>0</v>
      </c>
      <c r="P145" s="336"/>
    </row>
    <row r="146" spans="2:26" ht="16">
      <c r="B146" s="249" t="str">
        <v>Cash</v>
      </c>
      <c r="C146" s="250">
        <v>0.5</v>
      </c>
      <c r="I146" s="247" t="s">
        <v>113</v>
      </c>
      <c r="J146" s="291"/>
      <c r="K146" s="331">
        <f>IF($G$145="Yes", $F$145*J146, $F$145*C146)</f>
        <v>0</v>
      </c>
      <c r="M146" s="248" t="str">
        <f>I146</f>
        <v>Cash</v>
      </c>
      <c r="N146" s="331">
        <f>IF($E$145&lt;&gt;0, IF($G$145&lt;&gt;"Yes", C146*$F$145, J146*$F$145), 0)</f>
        <v>0</v>
      </c>
    </row>
    <row r="148" spans="2:26" ht="29">
      <c r="B148" s="325" t="s">
        <v>735</v>
      </c>
      <c r="C148" s="326"/>
      <c r="D148" s="326"/>
      <c r="E148" s="326"/>
      <c r="F148" s="326"/>
      <c r="G148" s="326"/>
      <c r="H148" s="326"/>
      <c r="I148" s="326"/>
      <c r="J148" s="326"/>
      <c r="K148" s="326"/>
      <c r="L148" s="326"/>
      <c r="M148" s="176"/>
      <c r="N148" s="326"/>
      <c r="O148" s="334"/>
      <c r="P148" s="334"/>
      <c r="Q148" s="334"/>
      <c r="R148" s="334"/>
      <c r="S148" s="334"/>
      <c r="T148" s="334"/>
      <c r="U148" s="334"/>
      <c r="V148" s="334"/>
      <c r="W148" s="334"/>
      <c r="X148" s="334"/>
      <c r="Y148" s="334"/>
      <c r="Z148" s="334"/>
    </row>
    <row r="150" spans="2:26" ht="19">
      <c r="B150" s="243" t="s">
        <v>114</v>
      </c>
      <c r="C150" s="243" t="s">
        <v>115</v>
      </c>
      <c r="D150" s="244" t="s">
        <v>116</v>
      </c>
      <c r="E150" s="245" t="s">
        <v>117</v>
      </c>
      <c r="G150" s="61"/>
    </row>
    <row r="151" spans="2:26" ht="16">
      <c r="B151" s="266" t="str">
        <f>'Inv. Proposal Calculations'!B70</f>
        <v>Apollo Diversified Real Estate Fund Fund</v>
      </c>
      <c r="C151" s="266" t="str">
        <f>_xlfn.XLOOKUP(Table33[[#This Row],[Investment Name]], Investment_Proposal_Calculations[ACT &amp; D Name], Investment_Proposal_Calculations[Ticker **Must Match Investment Proposal Inputs**])</f>
        <v>GRIFX</v>
      </c>
      <c r="D151" s="267">
        <f>_xlfn.XLOOKUP(Table33[[#This Row],[Investment Name]], Investment_Proposal_Calculations[ACT &amp; D Name], Investment_Proposal_Calculations[Sum from Inputs])</f>
        <v>0</v>
      </c>
      <c r="E151" s="340"/>
    </row>
    <row r="152" spans="2:26" ht="16">
      <c r="B152" s="268" t="str">
        <f>'Inv. Proposal Calculations'!B71</f>
        <v>Blackstone BREIT</v>
      </c>
      <c r="C152" s="268" t="str">
        <f>_xlfn.XLOOKUP(Table33[[#This Row],[Investment Name]], Investment_Proposal_Calculations[ACT &amp; D Name], Investment_Proposal_Calculations[Ticker **Must Match Investment Proposal Inputs**])</f>
        <v>BREIT</v>
      </c>
      <c r="D152" s="269">
        <f>_xlfn.XLOOKUP(Table33[[#This Row],[Investment Name]], Investment_Proposal_Calculations[ACT &amp; D Name], Investment_Proposal_Calculations[Sum from Inputs])</f>
        <v>0</v>
      </c>
      <c r="E152" s="340"/>
    </row>
    <row r="153" spans="2:26" ht="16">
      <c r="B153" s="266" t="str">
        <f>'Inv. Proposal Calculations'!B72</f>
        <v>Bluerock Interval Fund</v>
      </c>
      <c r="C153" s="266" t="str">
        <f>_xlfn.XLOOKUP(Table33[[#This Row],[Investment Name]], Investment_Proposal_Calculations[ACT &amp; D Name], Investment_Proposal_Calculations[Ticker **Must Match Investment Proposal Inputs**])</f>
        <v>TIPWX</v>
      </c>
      <c r="D153" s="267">
        <f>_xlfn.XLOOKUP(Table33[[#This Row],[Investment Name]], Investment_Proposal_Calculations[ACT &amp; D Name], Investment_Proposal_Calculations[Sum from Inputs])</f>
        <v>0</v>
      </c>
      <c r="E153" s="340"/>
    </row>
    <row r="154" spans="2:26" ht="16">
      <c r="B154" s="268" t="str">
        <f>'Inv. Proposal Calculations'!B73</f>
        <v>Easterly Funds Global Real Estate Fund</v>
      </c>
      <c r="C154" s="268" t="str">
        <f>_xlfn.XLOOKUP(Table33[[#This Row],[Investment Name]], Investment_Proposal_Calculations[ACT &amp; D Name], Investment_Proposal_Calculations[Ticker **Must Match Investment Proposal Inputs**])</f>
        <v>JARIX</v>
      </c>
      <c r="D154" s="269">
        <f>_xlfn.XLOOKUP(Table33[[#This Row],[Investment Name]], Investment_Proposal_Calculations[ACT &amp; D Name], Investment_Proposal_Calculations[Sum from Inputs])</f>
        <v>0</v>
      </c>
      <c r="E154" s="340"/>
      <c r="N154" s="335"/>
    </row>
    <row r="155" spans="2:26" ht="16">
      <c r="B155" s="266" t="str">
        <f>'Inv. Proposal Calculations'!B74</f>
        <v>Hines Global Income Trust</v>
      </c>
      <c r="C155" s="266" t="str">
        <f>_xlfn.XLOOKUP(Table33[[#This Row],[Investment Name]], Investment_Proposal_Calculations[ACT &amp; D Name], Investment_Proposal_Calculations[Ticker **Must Match Investment Proposal Inputs**])</f>
        <v>ZHGIIX</v>
      </c>
      <c r="D155" s="267">
        <f>_xlfn.XLOOKUP(Table33[[#This Row],[Investment Name]], Investment_Proposal_Calculations[ACT &amp; D Name], Investment_Proposal_Calculations[Sum from Inputs])</f>
        <v>0</v>
      </c>
      <c r="E155" s="340"/>
    </row>
    <row r="156" spans="2:26" ht="16">
      <c r="B156" s="268" t="str">
        <f>'Inv. Proposal Calculations'!B75</f>
        <v>Industrial Property Trust</v>
      </c>
      <c r="C156" s="268" t="str">
        <f>_xlfn.XLOOKUP(Table33[[#This Row],[Investment Name]], Investment_Proposal_Calculations[ACT &amp; D Name], Investment_Proposal_Calculations[Ticker **Must Match Investment Proposal Inputs**])</f>
        <v>Industrial Property Trust</v>
      </c>
      <c r="D156" s="269">
        <f>_xlfn.XLOOKUP(Table33[[#This Row],[Investment Name]], Investment_Proposal_Calculations[ACT &amp; D Name], Investment_Proposal_Calculations[Sum from Inputs])</f>
        <v>0</v>
      </c>
      <c r="E156" s="340"/>
    </row>
    <row r="157" spans="2:26" ht="16">
      <c r="B157" s="266" t="str">
        <f>'Inv. Proposal Calculations'!B76</f>
        <v>Nuveen Global Cities REIT</v>
      </c>
      <c r="C157" s="266" t="str">
        <f>_xlfn.XLOOKUP(Table33[[#This Row],[Investment Name]], Investment_Proposal_Calculations[ACT &amp; D Name], Investment_Proposal_Calculations[Ticker **Must Match Investment Proposal Inputs**])</f>
        <v>ZNGRIX</v>
      </c>
      <c r="D157" s="267">
        <f>_xlfn.XLOOKUP(Table33[[#This Row],[Investment Name]], Investment_Proposal_Calculations[ACT &amp; D Name], Investment_Proposal_Calculations[Sum from Inputs])</f>
        <v>0</v>
      </c>
      <c r="E157" s="340"/>
    </row>
    <row r="158" spans="2:26" ht="16">
      <c r="B158" s="268" t="str">
        <f>'Inv. Proposal Calculations'!B77</f>
        <v>Sealy Industrial Partners</v>
      </c>
      <c r="C158" s="268" t="str">
        <f>_xlfn.XLOOKUP(Table33[[#This Row],[Investment Name]], Investment_Proposal_Calculations[ACT &amp; D Name], Investment_Proposal_Calculations[Ticker **Must Match Investment Proposal Inputs**])</f>
        <v>Sealy Industrial Partners</v>
      </c>
      <c r="D158" s="269">
        <f>_xlfn.XLOOKUP(Table33[[#This Row],[Investment Name]], Investment_Proposal_Calculations[ACT &amp; D Name], Investment_Proposal_Calculations[Sum from Inputs])</f>
        <v>0</v>
      </c>
      <c r="E158" s="340"/>
    </row>
    <row r="159" spans="2:26" ht="16">
      <c r="B159" s="266" t="str">
        <f>'Inv. Proposal Calculations'!B78</f>
        <v>Strategic Storage Growth Trust II</v>
      </c>
      <c r="C159" s="266" t="str">
        <f>_xlfn.XLOOKUP(Table33[[#This Row],[Investment Name]], Investment_Proposal_Calculations[ACT &amp; D Name], Investment_Proposal_Calculations[Ticker **Must Match Investment Proposal Inputs**])</f>
        <v>Strategic Storage Growth Trust II</v>
      </c>
      <c r="D159" s="267">
        <f>_xlfn.XLOOKUP(Table33[[#This Row],[Investment Name]], Investment_Proposal_Calculations[ACT &amp; D Name], Investment_Proposal_Calculations[Sum from Inputs])</f>
        <v>0</v>
      </c>
      <c r="E159" s="340"/>
    </row>
    <row r="160" spans="2:26" ht="16">
      <c r="B160" s="268" t="str">
        <f>'Inv. Proposal Calculations'!B79</f>
        <v>Strategic Storage Trust IV</v>
      </c>
      <c r="C160" s="268" t="str">
        <f>_xlfn.XLOOKUP(Table33[[#This Row],[Investment Name]], Investment_Proposal_Calculations[ACT &amp; D Name], Investment_Proposal_Calculations[Ticker **Must Match Investment Proposal Inputs**])</f>
        <v>Strategic Storage Trust IV</v>
      </c>
      <c r="D160" s="269">
        <f>_xlfn.XLOOKUP(Table33[[#This Row],[Investment Name]], Investment_Proposal_Calculations[ACT &amp; D Name], Investment_Proposal_Calculations[Sum from Inputs])</f>
        <v>0</v>
      </c>
      <c r="E160" s="340"/>
    </row>
    <row r="161" spans="2:5" ht="16">
      <c r="B161" s="266" t="str">
        <f>'Inv. Proposal Calculations'!B80</f>
        <v>Starwood SREIT</v>
      </c>
      <c r="C161" s="266" t="str">
        <f>_xlfn.XLOOKUP(Table33[[#This Row],[Investment Name]], Investment_Proposal_Calculations[ACT &amp; D Name], Investment_Proposal_Calculations[Ticker **Must Match Investment Proposal Inputs**])</f>
        <v>Starwood SREIT</v>
      </c>
      <c r="D161" s="267">
        <f>_xlfn.XLOOKUP(Table33[[#This Row],[Investment Name]], Investment_Proposal_Calculations[ACT &amp; D Name], Investment_Proposal_Calculations[Sum from Inputs])</f>
        <v>0</v>
      </c>
      <c r="E161" s="340"/>
    </row>
    <row r="162" spans="2:5" ht="16">
      <c r="B162" s="268" t="str">
        <f>'Inv. Proposal Calculations'!B81</f>
        <v>Private Real Estate Opportunity</v>
      </c>
      <c r="C162" s="268" t="str">
        <f>_xlfn.XLOOKUP(Table33[[#This Row],[Investment Name]], Investment_Proposal_Calculations[ACT &amp; D Name], Investment_Proposal_Calculations[Ticker **Must Match Investment Proposal Inputs**])</f>
        <v>Private Real Estate Opportunity</v>
      </c>
      <c r="D162" s="269">
        <f>_xlfn.XLOOKUP(Table33[[#This Row],[Investment Name]], Investment_Proposal_Calculations[ACT &amp; D Name], Investment_Proposal_Calculations[Sum from Inputs])</f>
        <v>0</v>
      </c>
      <c r="E162" s="340"/>
    </row>
    <row r="163" spans="2:5" ht="16">
      <c r="B163" s="266" t="str">
        <f>'Inv. Proposal Calculations'!B82</f>
        <v>Cion Ares Diversified Credit</v>
      </c>
      <c r="C163" s="266" t="str">
        <f>_xlfn.XLOOKUP(Table33[[#This Row],[Investment Name]], Investment_Proposal_Calculations[ACT &amp; D Name], Investment_Proposal_Calculations[Ticker **Must Match Investment Proposal Inputs**])</f>
        <v>CADUX</v>
      </c>
      <c r="D163" s="267">
        <f>_xlfn.XLOOKUP(Table33[[#This Row],[Investment Name]], Investment_Proposal_Calculations[ACT &amp; D Name], Investment_Proposal_Calculations[Sum from Inputs])</f>
        <v>0</v>
      </c>
      <c r="E163" s="340"/>
    </row>
    <row r="164" spans="2:5" ht="16">
      <c r="B164" s="268" t="str">
        <f>'Inv. Proposal Calculations'!B83</f>
        <v>Cliffwater Corporate Lending Fund</v>
      </c>
      <c r="C164" s="268" t="str">
        <f>_xlfn.XLOOKUP(Table33[[#This Row],[Investment Name]], Investment_Proposal_Calculations[ACT &amp; D Name], Investment_Proposal_Calculations[Ticker **Must Match Investment Proposal Inputs**])</f>
        <v>CCLFX</v>
      </c>
      <c r="D164" s="269">
        <f>_xlfn.XLOOKUP(Table33[[#This Row],[Investment Name]], Investment_Proposal_Calculations[ACT &amp; D Name], Investment_Proposal_Calculations[Sum from Inputs])</f>
        <v>0</v>
      </c>
      <c r="E164" s="340"/>
    </row>
    <row r="165" spans="2:5" ht="16">
      <c r="B165" s="266" t="str">
        <f>'Inv. Proposal Calculations'!B84</f>
        <v>Inpoint Commercial Real Estate Income</v>
      </c>
      <c r="C165" s="266" t="str">
        <f>_xlfn.XLOOKUP(Table33[[#This Row],[Investment Name]], Investment_Proposal_Calculations[ACT &amp; D Name], Investment_Proposal_Calculations[Ticker **Must Match Investment Proposal Inputs**])</f>
        <v>Inpoint Commercial Real Estate Income</v>
      </c>
      <c r="D165" s="267">
        <f>_xlfn.XLOOKUP(Table33[[#This Row],[Investment Name]], Investment_Proposal_Calculations[ACT &amp; D Name], Investment_Proposal_Calculations[Sum from Inputs])</f>
        <v>0</v>
      </c>
      <c r="E165" s="340"/>
    </row>
    <row r="166" spans="2:5" ht="16">
      <c r="B166" s="268" t="str">
        <f>'Inv. Proposal Calculations'!B85</f>
        <v>Blue Owl Credit Income Corp</v>
      </c>
      <c r="C166" s="268" t="str">
        <f>_xlfn.XLOOKUP(Table33[[#This Row],[Investment Name]], Investment_Proposal_Calculations[ACT &amp; D Name], Investment_Proposal_Calculations[Ticker **Must Match Investment Proposal Inputs**])</f>
        <v>OCIC</v>
      </c>
      <c r="D166" s="269">
        <f>_xlfn.XLOOKUP(Table33[[#This Row],[Investment Name]], Investment_Proposal_Calculations[ACT &amp; D Name], Investment_Proposal_Calculations[Sum from Inputs])</f>
        <v>0</v>
      </c>
      <c r="E166" s="340"/>
    </row>
    <row r="167" spans="2:5" ht="16">
      <c r="B167" s="266" t="str">
        <f>'Inv. Proposal Calculations'!B86</f>
        <v>Blue Owl Technology Income Corp</v>
      </c>
      <c r="C167" s="266" t="str">
        <f>_xlfn.XLOOKUP(Table33[[#This Row],[Investment Name]], Investment_Proposal_Calculations[ACT &amp; D Name], Investment_Proposal_Calculations[Ticker **Must Match Investment Proposal Inputs**])</f>
        <v>OTIC</v>
      </c>
      <c r="D167" s="267">
        <f>_xlfn.XLOOKUP(Table33[[#This Row],[Investment Name]], Investment_Proposal_Calculations[ACT &amp; D Name], Investment_Proposal_Calculations[Sum from Inputs])</f>
        <v>0</v>
      </c>
      <c r="E167" s="340"/>
    </row>
    <row r="168" spans="2:5" ht="16">
      <c r="B168" s="268" t="str">
        <f>'Inv. Proposal Calculations'!B87</f>
        <v>Nuveen Churchill Private Capital Income Fund</v>
      </c>
      <c r="C168" s="268" t="str">
        <f>_xlfn.XLOOKUP(Table33[[#This Row],[Investment Name]], Investment_Proposal_Calculations[ACT &amp; D Name], Investment_Proposal_Calculations[Ticker **Must Match Investment Proposal Inputs**])</f>
        <v>PCAP</v>
      </c>
      <c r="D168" s="269">
        <f>_xlfn.XLOOKUP(Table33[[#This Row],[Investment Name]], Investment_Proposal_Calculations[ACT &amp; D Name], Investment_Proposal_Calculations[Sum from Inputs])</f>
        <v>0</v>
      </c>
      <c r="E168" s="340"/>
    </row>
    <row r="169" spans="2:5" ht="16">
      <c r="B169" s="266" t="str">
        <f>'Inv. Proposal Calculations'!B88</f>
        <v>Private Lending Opportunity</v>
      </c>
      <c r="C169" s="266" t="str">
        <f>_xlfn.XLOOKUP(Table33[[#This Row],[Investment Name]], Investment_Proposal_Calculations[ACT &amp; D Name], Investment_Proposal_Calculations[Ticker **Must Match Investment Proposal Inputs**])</f>
        <v>Private Lending Opportunity</v>
      </c>
      <c r="D169" s="267">
        <f>_xlfn.XLOOKUP(Table33[[#This Row],[Investment Name]], Investment_Proposal_Calculations[ACT &amp; D Name], Investment_Proposal_Calculations[Sum from Inputs])</f>
        <v>0</v>
      </c>
      <c r="E169" s="340"/>
    </row>
    <row r="170" spans="2:5" ht="16">
      <c r="B170" s="268" t="str">
        <f>'Inv. Proposal Calculations'!B89</f>
        <v>CNL Strategic Capital</v>
      </c>
      <c r="C170" s="268" t="str">
        <f>_xlfn.XLOOKUP(Table33[[#This Row],[Investment Name]], Investment_Proposal_Calculations[ACT &amp; D Name], Investment_Proposal_Calculations[Ticker **Must Match Investment Proposal Inputs**])</f>
        <v>CNL</v>
      </c>
      <c r="D170" s="269">
        <f>_xlfn.XLOOKUP(Table33[[#This Row],[Investment Name]], Investment_Proposal_Calculations[ACT &amp; D Name], Investment_Proposal_Calculations[Sum from Inputs])</f>
        <v>0</v>
      </c>
      <c r="E170" s="340"/>
    </row>
    <row r="171" spans="2:5" ht="16">
      <c r="B171" s="266" t="str">
        <f>'Inv. Proposal Calculations'!B90</f>
        <v xml:space="preserve">Constitution Capital Ironsides Co-Investment Fund VI </v>
      </c>
      <c r="C171" s="266" t="str">
        <f>_xlfn.XLOOKUP(Table33[[#This Row],[Investment Name]], Investment_Proposal_Calculations[ACT &amp; D Name], Investment_Proposal_Calculations[Ticker **Must Match Investment Proposal Inputs**])</f>
        <v xml:space="preserve">Constitution Capital Ironsides Co-Investment Fund VI </v>
      </c>
      <c r="D171" s="267">
        <f>_xlfn.XLOOKUP(Table33[[#This Row],[Investment Name]], Investment_Proposal_Calculations[ACT &amp; D Name], Investment_Proposal_Calculations[Sum from Inputs])</f>
        <v>0</v>
      </c>
      <c r="E171" s="340"/>
    </row>
    <row r="172" spans="2:5" ht="16">
      <c r="B172" s="268" t="str">
        <f>'Inv. Proposal Calculations'!B91</f>
        <v>Hamilton Lane Private Assets Fund</v>
      </c>
      <c r="C172" s="268" t="str">
        <f>_xlfn.XLOOKUP(Table33[[#This Row],[Investment Name]], Investment_Proposal_Calculations[ACT &amp; D Name], Investment_Proposal_Calculations[Ticker **Must Match Investment Proposal Inputs**])</f>
        <v>Hamilton Lane Private Assets Fund</v>
      </c>
      <c r="D172" s="269">
        <f>_xlfn.XLOOKUP(Table33[[#This Row],[Investment Name]], Investment_Proposal_Calculations[ACT &amp; D Name], Investment_Proposal_Calculations[Sum from Inputs])</f>
        <v>0</v>
      </c>
      <c r="E172" s="340"/>
    </row>
    <row r="173" spans="2:5" ht="16">
      <c r="B173" s="266" t="str">
        <f>'Inv. Proposal Calculations'!B92</f>
        <v>Ironsides Co-Investment Fund</v>
      </c>
      <c r="C173" s="266" t="str">
        <f>_xlfn.XLOOKUP(Table33[[#This Row],[Investment Name]], Investment_Proposal_Calculations[ACT &amp; D Name], Investment_Proposal_Calculations[Ticker **Must Match Investment Proposal Inputs**])</f>
        <v>Ironsides Co-Investment Fund</v>
      </c>
      <c r="D173" s="267">
        <f>_xlfn.XLOOKUP(Table33[[#This Row],[Investment Name]], Investment_Proposal_Calculations[ACT &amp; D Name], Investment_Proposal_Calculations[Sum from Inputs])</f>
        <v>0</v>
      </c>
      <c r="E173" s="340"/>
    </row>
    <row r="174" spans="2:5" ht="16">
      <c r="B174" s="268" t="str">
        <f>'Inv. Proposal Calculations'!B93</f>
        <v>Pomona Investment Fund</v>
      </c>
      <c r="C174" s="268" t="str">
        <f>_xlfn.XLOOKUP(Table33[[#This Row],[Investment Name]], Investment_Proposal_Calculations[ACT &amp; D Name], Investment_Proposal_Calculations[Ticker **Must Match Investment Proposal Inputs**])</f>
        <v>PIF</v>
      </c>
      <c r="D174" s="269">
        <f>_xlfn.XLOOKUP(Table33[[#This Row],[Investment Name]], Investment_Proposal_Calculations[ACT &amp; D Name], Investment_Proposal_Calculations[Sum from Inputs])</f>
        <v>0</v>
      </c>
      <c r="E174" s="340"/>
    </row>
    <row r="175" spans="2:5" ht="16">
      <c r="B175" s="266" t="str">
        <f>'Inv. Proposal Calculations'!B94</f>
        <v>Private Equity Opportunity</v>
      </c>
      <c r="C175" s="266" t="str">
        <f>_xlfn.XLOOKUP(Table33[[#This Row],[Investment Name]], Investment_Proposal_Calculations[ACT &amp; D Name], Investment_Proposal_Calculations[Ticker **Must Match Investment Proposal Inputs**])</f>
        <v>Private Equity Opportunity</v>
      </c>
      <c r="D175" s="267">
        <f>_xlfn.XLOOKUP(Table33[[#This Row],[Investment Name]], Investment_Proposal_Calculations[ACT &amp; D Name], Investment_Proposal_Calculations[Sum from Inputs])</f>
        <v>0</v>
      </c>
      <c r="E175" s="340"/>
    </row>
    <row r="176" spans="2:5" ht="16">
      <c r="B176" s="268" t="str">
        <f>'Inv. Proposal Calculations'!B95</f>
        <v>Stepstone Private Markets Fund</v>
      </c>
      <c r="C176" s="268" t="str">
        <f>_xlfn.XLOOKUP(Table33[[#This Row],[Investment Name]], Investment_Proposal_Calculations[ACT &amp; D Name], Investment_Proposal_Calculations[Ticker **Must Match Investment Proposal Inputs**])</f>
        <v>SPRIM</v>
      </c>
      <c r="D176" s="269">
        <f>_xlfn.XLOOKUP(Table33[[#This Row],[Investment Name]], Investment_Proposal_Calculations[ACT &amp; D Name], Investment_Proposal_Calculations[Sum from Inputs])</f>
        <v>0</v>
      </c>
      <c r="E176" s="340"/>
    </row>
    <row r="177" spans="2:5" ht="16">
      <c r="B177" s="266" t="str">
        <f>'Inv. Proposal Calculations'!B96</f>
        <v>APX</v>
      </c>
      <c r="C177" s="266" t="str">
        <f>_xlfn.XLOOKUP(Table33[[#This Row],[Investment Name]], Investment_Proposal_Calculations[ACT &amp; D Name], Investment_Proposal_Calculations[Ticker **Must Match Investment Proposal Inputs**])</f>
        <v>APX</v>
      </c>
      <c r="D177" s="267">
        <f>_xlfn.XLOOKUP(Table33[[#This Row],[Investment Name]], Investment_Proposal_Calculations[ACT &amp; D Name], Investment_Proposal_Calculations[Sum from Inputs])</f>
        <v>0</v>
      </c>
      <c r="E177" s="340"/>
    </row>
    <row r="178" spans="2:5" ht="16">
      <c r="B178" s="268" t="str">
        <f>'Inv. Proposal Calculations'!B97</f>
        <v>Chevron</v>
      </c>
      <c r="C178" s="268" t="str">
        <f>_xlfn.XLOOKUP(Table33[[#This Row],[Investment Name]], Investment_Proposal_Calculations[ACT &amp; D Name], Investment_Proposal_Calculations[Ticker **Must Match Investment Proposal Inputs**])</f>
        <v>CVX</v>
      </c>
      <c r="D178" s="269">
        <f>_xlfn.XLOOKUP(Table33[[#This Row],[Investment Name]], Investment_Proposal_Calculations[ACT &amp; D Name], Investment_Proposal_Calculations[Sum from Inputs])</f>
        <v>0</v>
      </c>
      <c r="E178" s="340"/>
    </row>
    <row r="179" spans="2:5" ht="16">
      <c r="B179" s="266" t="str">
        <f>'Inv. Proposal Calculations'!B98</f>
        <v>Exxon</v>
      </c>
      <c r="C179" s="266" t="str">
        <f>_xlfn.XLOOKUP(Table33[[#This Row],[Investment Name]], Investment_Proposal_Calculations[ACT &amp; D Name], Investment_Proposal_Calculations[Ticker **Must Match Investment Proposal Inputs**])</f>
        <v>XOM</v>
      </c>
      <c r="D179" s="267">
        <f>_xlfn.XLOOKUP(Table33[[#This Row],[Investment Name]], Investment_Proposal_Calculations[ACT &amp; D Name], Investment_Proposal_Calculations[Sum from Inputs])</f>
        <v>0</v>
      </c>
      <c r="E179" s="340"/>
    </row>
    <row r="180" spans="2:5" ht="16">
      <c r="B180" s="268" t="str">
        <f>'Inv. Proposal Calculations'!B99</f>
        <v xml:space="preserve">Invesco Oppenheimer MLP SteelPath Alpha </v>
      </c>
      <c r="C180" s="268" t="str">
        <f>_xlfn.XLOOKUP(Table33[[#This Row],[Investment Name]], Investment_Proposal_Calculations[ACT &amp; D Name], Investment_Proposal_Calculations[Ticker **Must Match Investment Proposal Inputs**])</f>
        <v>MLPAX</v>
      </c>
      <c r="D180" s="269">
        <f>_xlfn.XLOOKUP(Table33[[#This Row],[Investment Name]], Investment_Proposal_Calculations[ACT &amp; D Name], Investment_Proposal_Calculations[Sum from Inputs])</f>
        <v>0</v>
      </c>
      <c r="E180" s="340"/>
    </row>
    <row r="181" spans="2:5" ht="16">
      <c r="B181" s="266" t="str">
        <f>'Inv. Proposal Calculations'!B100</f>
        <v>Invesco Oppenheimer MLP SteelPath Income</v>
      </c>
      <c r="C181" s="266" t="str">
        <f>_xlfn.XLOOKUP(Table33[[#This Row],[Investment Name]], Investment_Proposal_Calculations[ACT &amp; D Name], Investment_Proposal_Calculations[Ticker **Must Match Investment Proposal Inputs**])</f>
        <v>MLPDX</v>
      </c>
      <c r="D181" s="267">
        <f>_xlfn.XLOOKUP(Table33[[#This Row],[Investment Name]], Investment_Proposal_Calculations[ACT &amp; D Name], Investment_Proposal_Calculations[Sum from Inputs])</f>
        <v>0</v>
      </c>
      <c r="E181" s="340"/>
    </row>
    <row r="182" spans="2:5" ht="16">
      <c r="B182" s="268" t="str">
        <f>'Inv. Proposal Calculations'!B101</f>
        <v>PGIM Jennison MLP</v>
      </c>
      <c r="C182" s="268" t="str">
        <f>_xlfn.XLOOKUP(Table33[[#This Row],[Investment Name]], Investment_Proposal_Calculations[ACT &amp; D Name], Investment_Proposal_Calculations[Ticker **Must Match Investment Proposal Inputs**])</f>
        <v>PRPZX</v>
      </c>
      <c r="D182" s="269">
        <f>_xlfn.XLOOKUP(Table33[[#This Row],[Investment Name]], Investment_Proposal_Calculations[ACT &amp; D Name], Investment_Proposal_Calculations[Sum from Inputs])</f>
        <v>0</v>
      </c>
      <c r="E182" s="340"/>
    </row>
    <row r="183" spans="2:5" ht="16">
      <c r="B183" s="266" t="str">
        <f>'Inv. Proposal Calculations'!B102</f>
        <v>Allianz Index Advantage</v>
      </c>
      <c r="C183" s="266" t="str">
        <f>_xlfn.XLOOKUP(Table33[[#This Row],[Investment Name]], Investment_Proposal_Calculations[ACT &amp; D Name], Investment_Proposal_Calculations[Ticker **Must Match Investment Proposal Inputs**])</f>
        <v>Allianz Index Advantage</v>
      </c>
      <c r="D183" s="267">
        <f>_xlfn.XLOOKUP(Table33[[#This Row],[Investment Name]], Investment_Proposal_Calculations[ACT &amp; D Name], Investment_Proposal_Calculations[Sum from Inputs])</f>
        <v>0</v>
      </c>
      <c r="E183" s="340"/>
    </row>
    <row r="184" spans="2:5" ht="16">
      <c r="B184" s="268" t="str">
        <f>'Inv. Proposal Calculations'!B103</f>
        <v>Bluerock Preferred</v>
      </c>
      <c r="C184" s="268" t="str">
        <f>_xlfn.XLOOKUP(Table33[[#This Row],[Investment Name]], Investment_Proposal_Calculations[ACT &amp; D Name], Investment_Proposal_Calculations[Ticker **Must Match Investment Proposal Inputs**])</f>
        <v>BRG-PC</v>
      </c>
      <c r="D184" s="269">
        <f>_xlfn.XLOOKUP(Table33[[#This Row],[Investment Name]], Investment_Proposal_Calculations[ACT &amp; D Name], Investment_Proposal_Calculations[Sum from Inputs])</f>
        <v>0</v>
      </c>
      <c r="E184" s="340"/>
    </row>
    <row r="185" spans="2:5" ht="16">
      <c r="B185" s="266" t="str">
        <f>'Inv. Proposal Calculations'!B104</f>
        <v>Calamos Hedged Equity</v>
      </c>
      <c r="C185" s="266" t="str">
        <f>_xlfn.XLOOKUP(Table33[[#This Row],[Investment Name]], Investment_Proposal_Calculations[ACT &amp; D Name], Investment_Proposal_Calculations[Ticker **Must Match Investment Proposal Inputs**])</f>
        <v>CIHEX</v>
      </c>
      <c r="D185" s="267">
        <f>_xlfn.XLOOKUP(Table33[[#This Row],[Investment Name]], Investment_Proposal_Calculations[ACT &amp; D Name], Investment_Proposal_Calculations[Sum from Inputs])</f>
        <v>0</v>
      </c>
      <c r="E185" s="340"/>
    </row>
    <row r="186" spans="2:5" ht="16">
      <c r="B186" s="268" t="str">
        <f>'Inv. Proposal Calculations'!B105</f>
        <v>First Trust Target Outcome ETFs - Buffered</v>
      </c>
      <c r="C186" s="268" t="str">
        <f>_xlfn.XLOOKUP(Table33[[#This Row],[Investment Name]], Investment_Proposal_Calculations[ACT &amp; D Name], Investment_Proposal_Calculations[Ticker **Must Match Investment Proposal Inputs**])</f>
        <v>First Trust Target Outcome ETFs - Buffered</v>
      </c>
      <c r="D186" s="269">
        <f>_xlfn.XLOOKUP(Table33[[#This Row],[Investment Name]], Investment_Proposal_Calculations[ACT &amp; D Name], Investment_Proposal_Calculations[Sum from Inputs])</f>
        <v>0</v>
      </c>
      <c r="E186" s="340"/>
    </row>
    <row r="187" spans="2:5" ht="16">
      <c r="B187" s="266" t="str">
        <f>'Inv. Proposal Calculations'!B106</f>
        <v>First Trust Target Outcome ETFs - Deep Buffered </v>
      </c>
      <c r="C187" s="266" t="str">
        <f>_xlfn.XLOOKUP(Table33[[#This Row],[Investment Name]], Investment_Proposal_Calculations[ACT &amp; D Name], Investment_Proposal_Calculations[Ticker **Must Match Investment Proposal Inputs**])</f>
        <v>First Trust Target Outcome ETFs - Deep Buffered </v>
      </c>
      <c r="D187" s="267">
        <f>_xlfn.XLOOKUP(Table33[[#This Row],[Investment Name]], Investment_Proposal_Calculations[ACT &amp; D Name], Investment_Proposal_Calculations[Sum from Inputs])</f>
        <v>0</v>
      </c>
      <c r="E187" s="340"/>
    </row>
    <row r="188" spans="2:5" ht="16">
      <c r="B188" s="268" t="str">
        <f>'Inv. Proposal Calculations'!B107</f>
        <v>Jackson National FIA</v>
      </c>
      <c r="C188" s="268" t="str">
        <f>_xlfn.XLOOKUP(Table33[[#This Row],[Investment Name]], Investment_Proposal_Calculations[ACT &amp; D Name], Investment_Proposal_Calculations[Ticker **Must Match Investment Proposal Inputs**])</f>
        <v>Jackson National FIA</v>
      </c>
      <c r="D188" s="269">
        <f>_xlfn.XLOOKUP(Table33[[#This Row],[Investment Name]], Investment_Proposal_Calculations[ACT &amp; D Name], Investment_Proposal_Calculations[Sum from Inputs])</f>
        <v>0</v>
      </c>
      <c r="E188" s="340"/>
    </row>
    <row r="189" spans="2:5" ht="16">
      <c r="B189" s="266" t="str">
        <f>'Inv. Proposal Calculations'!B108</f>
        <v>Jackson National Perspective II</v>
      </c>
      <c r="C189" s="266" t="str">
        <f>_xlfn.XLOOKUP(Table33[[#This Row],[Investment Name]], Investment_Proposal_Calculations[ACT &amp; D Name], Investment_Proposal_Calculations[Ticker **Must Match Investment Proposal Inputs**])</f>
        <v>Jackson National Perspective II</v>
      </c>
      <c r="D189" s="267">
        <f>_xlfn.XLOOKUP(Table33[[#This Row],[Investment Name]], Investment_Proposal_Calculations[ACT &amp; D Name], Investment_Proposal_Calculations[Sum from Inputs])</f>
        <v>0</v>
      </c>
      <c r="E189" s="340"/>
    </row>
    <row r="190" spans="2:5" ht="16">
      <c r="B190" s="268" t="str">
        <f>'Inv. Proposal Calculations'!B109</f>
        <v>JPMorgan Hedged Equity</v>
      </c>
      <c r="C190" s="268" t="str">
        <f>_xlfn.XLOOKUP(Table33[[#This Row],[Investment Name]], Investment_Proposal_Calculations[ACT &amp; D Name], Investment_Proposal_Calculations[Ticker **Must Match Investment Proposal Inputs**])</f>
        <v>JHQDX</v>
      </c>
      <c r="D190" s="269">
        <f>_xlfn.XLOOKUP(Table33[[#This Row],[Investment Name]], Investment_Proposal_Calculations[ACT &amp; D Name], Investment_Proposal_Calculations[Sum from Inputs])</f>
        <v>0</v>
      </c>
      <c r="E190" s="340"/>
    </row>
    <row r="191" spans="2:5" ht="16">
      <c r="B191" s="266" t="str">
        <f>'Inv. Proposal Calculations'!B110</f>
        <v>NexPoint Merger Arbitrage Fund</v>
      </c>
      <c r="C191" s="266" t="str">
        <f>_xlfn.XLOOKUP(Table33[[#This Row],[Investment Name]], Investment_Proposal_Calculations[ACT &amp; D Name], Investment_Proposal_Calculations[Ticker **Must Match Investment Proposal Inputs**])</f>
        <v>HMEZX</v>
      </c>
      <c r="D191" s="267">
        <f>_xlfn.XLOOKUP(Table33[[#This Row],[Investment Name]], Investment_Proposal_Calculations[ACT &amp; D Name], Investment_Proposal_Calculations[Sum from Inputs])</f>
        <v>0</v>
      </c>
      <c r="E191" s="340"/>
    </row>
    <row r="192" spans="2:5" ht="16">
      <c r="B192" s="268" t="str">
        <f>'Inv. Proposal Calculations'!B111</f>
        <v>S&amp;P500 Market Linked CD</v>
      </c>
      <c r="C192" s="268" t="str">
        <f>_xlfn.XLOOKUP(Table33[[#This Row],[Investment Name]], Investment_Proposal_Calculations[ACT &amp; D Name], Investment_Proposal_Calculations[Ticker **Must Match Investment Proposal Inputs**])</f>
        <v>S&amp;P500 Market Linked CD</v>
      </c>
      <c r="D192" s="269">
        <f>_xlfn.XLOOKUP(Table33[[#This Row],[Investment Name]], Investment_Proposal_Calculations[ACT &amp; D Name], Investment_Proposal_Calculations[Sum from Inputs])</f>
        <v>0</v>
      </c>
      <c r="E192" s="340"/>
    </row>
    <row r="193" spans="2:5" ht="16">
      <c r="B193" s="266" t="str">
        <f>'Inv. Proposal Calculations'!B112</f>
        <v>Swan Defined Risk Growth Fund</v>
      </c>
      <c r="C193" s="266" t="str">
        <f>_xlfn.XLOOKUP(Table33[[#This Row],[Investment Name]], Investment_Proposal_Calculations[ACT &amp; D Name], Investment_Proposal_Calculations[Ticker **Must Match Investment Proposal Inputs**])</f>
        <v>SDAIX</v>
      </c>
      <c r="D193" s="267">
        <f>_xlfn.XLOOKUP(Table33[[#This Row],[Investment Name]], Investment_Proposal_Calculations[ACT &amp; D Name], Investment_Proposal_Calculations[Sum from Inputs])</f>
        <v>0</v>
      </c>
      <c r="E193" s="340"/>
    </row>
    <row r="194" spans="2:5" ht="16">
      <c r="B194" s="268" t="str">
        <f>'Inv. Proposal Calculations'!B113</f>
        <v>Bluebay Destra International Event Driven Credit Fund</v>
      </c>
      <c r="C194" s="268" t="str">
        <f>_xlfn.XLOOKUP(Table33[[#This Row],[Investment Name]], Investment_Proposal_Calculations[ACT &amp; D Name], Investment_Proposal_Calculations[Ticker **Must Match Investment Proposal Inputs**])</f>
        <v>CEDIX</v>
      </c>
      <c r="D194" s="269">
        <f>_xlfn.XLOOKUP(Table33[[#This Row],[Investment Name]], Investment_Proposal_Calculations[ACT &amp; D Name], Investment_Proposal_Calculations[Sum from Inputs])</f>
        <v>0</v>
      </c>
      <c r="E194" s="340"/>
    </row>
    <row r="195" spans="2:5" ht="16">
      <c r="B195" s="266" t="str">
        <f>'Inv. Proposal Calculations'!B114</f>
        <v>Counterpoint Tactical Income Fund</v>
      </c>
      <c r="C195" s="266" t="str">
        <f>_xlfn.XLOOKUP(Table33[[#This Row],[Investment Name]], Investment_Proposal_Calculations[ACT &amp; D Name], Investment_Proposal_Calculations[Ticker **Must Match Investment Proposal Inputs**])</f>
        <v>CIPTX</v>
      </c>
      <c r="D195" s="267">
        <f>_xlfn.XLOOKUP(Table33[[#This Row],[Investment Name]], Investment_Proposal_Calculations[ACT &amp; D Name], Investment_Proposal_Calculations[Sum from Inputs])</f>
        <v>0</v>
      </c>
      <c r="E195" s="340"/>
    </row>
    <row r="196" spans="2:5" ht="16">
      <c r="B196" s="268" t="str">
        <f>'Inv. Proposal Calculations'!B115</f>
        <v>Easterly Income Opportunities</v>
      </c>
      <c r="C196" s="268" t="str">
        <f>_xlfn.XLOOKUP(Table33[[#This Row],[Investment Name]], Investment_Proposal_Calculations[ACT &amp; D Name], Investment_Proposal_Calculations[Ticker **Must Match Investment Proposal Inputs**])</f>
        <v>JSVIX</v>
      </c>
      <c r="D196" s="269">
        <f>_xlfn.XLOOKUP(Table33[[#This Row],[Investment Name]], Investment_Proposal_Calculations[ACT &amp; D Name], Investment_Proposal_Calculations[Sum from Inputs])</f>
        <v>0</v>
      </c>
      <c r="E196" s="340"/>
    </row>
    <row r="197" spans="2:5" ht="16">
      <c r="B197" s="266" t="str">
        <f>'Inv. Proposal Calculations'!B116</f>
        <v>Lord Abbett Credit Opportunities Fund</v>
      </c>
      <c r="C197" s="266" t="str">
        <f>_xlfn.XLOOKUP(Table33[[#This Row],[Investment Name]], Investment_Proposal_Calculations[ACT &amp; D Name], Investment_Proposal_Calculations[Ticker **Must Match Investment Proposal Inputs**])</f>
        <v>LCRDX</v>
      </c>
      <c r="D197" s="267">
        <f>_xlfn.XLOOKUP(Table33[[#This Row],[Investment Name]], Investment_Proposal_Calculations[ACT &amp; D Name], Investment_Proposal_Calculations[Sum from Inputs])</f>
        <v>0</v>
      </c>
      <c r="E197" s="340"/>
    </row>
    <row r="198" spans="2:5" ht="16">
      <c r="B198" s="268" t="str">
        <f>'Inv. Proposal Calculations'!B117</f>
        <v>PGIM Jennison High Yield</v>
      </c>
      <c r="C198" s="268" t="str">
        <f>_xlfn.XLOOKUP(Table33[[#This Row],[Investment Name]], Investment_Proposal_Calculations[ACT &amp; D Name], Investment_Proposal_Calculations[Ticker **Must Match Investment Proposal Inputs**])</f>
        <v>PHYZX</v>
      </c>
      <c r="D198" s="269">
        <f>_xlfn.XLOOKUP(Table33[[#This Row],[Investment Name]], Investment_Proposal_Calculations[ACT &amp; D Name], Investment_Proposal_Calculations[Sum from Inputs])</f>
        <v>0</v>
      </c>
      <c r="E198" s="340"/>
    </row>
    <row r="199" spans="2:5" ht="16">
      <c r="B199" s="266" t="str">
        <f>'Inv. Proposal Calculations'!B118</f>
        <v>PGIM Jennison Short Duration High Yield</v>
      </c>
      <c r="C199" s="266" t="str">
        <f>_xlfn.XLOOKUP(Table33[[#This Row],[Investment Name]], Investment_Proposal_Calculations[ACT &amp; D Name], Investment_Proposal_Calculations[Ticker **Must Match Investment Proposal Inputs**])</f>
        <v>HYSZX</v>
      </c>
      <c r="D199" s="267">
        <f>_xlfn.XLOOKUP(Table33[[#This Row],[Investment Name]], Investment_Proposal_Calculations[ACT &amp; D Name], Investment_Proposal_Calculations[Sum from Inputs])</f>
        <v>0</v>
      </c>
      <c r="E199" s="340"/>
    </row>
    <row r="200" spans="2:5" ht="16">
      <c r="B200" s="268" t="str">
        <f>'Inv. Proposal Calculations'!B119</f>
        <v>PIMCO Income</v>
      </c>
      <c r="C200" s="268" t="str">
        <f>_xlfn.XLOOKUP(Table33[[#This Row],[Investment Name]], Investment_Proposal_Calculations[ACT &amp; D Name], Investment_Proposal_Calculations[Ticker **Must Match Investment Proposal Inputs**])</f>
        <v>PONPX</v>
      </c>
      <c r="D200" s="269">
        <f>_xlfn.XLOOKUP(Table33[[#This Row],[Investment Name]], Investment_Proposal_Calculations[ACT &amp; D Name], Investment_Proposal_Calculations[Sum from Inputs])</f>
        <v>0</v>
      </c>
      <c r="E200" s="340"/>
    </row>
    <row r="201" spans="2:5" ht="16">
      <c r="B201" s="266" t="str">
        <f>'Inv. Proposal Calculations'!B120</f>
        <v>Cash</v>
      </c>
      <c r="C201" s="266" t="str">
        <f>_xlfn.XLOOKUP(Table33[[#This Row],[Investment Name]], Investment_Proposal_Calculations[ACT &amp; D Name], Investment_Proposal_Calculations[Ticker **Must Match Investment Proposal Inputs**])</f>
        <v>Cash</v>
      </c>
      <c r="D201" s="267">
        <f>_xlfn.XLOOKUP(Table33[[#This Row],[Investment Name]], Investment_Proposal_Calculations[ACT &amp; D Name], Investment_Proposal_Calculations[Sum from Inputs])</f>
        <v>0</v>
      </c>
      <c r="E201" s="340"/>
    </row>
    <row r="202" spans="2:5" ht="16">
      <c r="B202" s="268" t="str">
        <f>'Inv. Proposal Calculations'!B121</f>
        <v>Alkeon ACAP Strategic Fund</v>
      </c>
      <c r="C202" s="268" t="str">
        <f>_xlfn.XLOOKUP(Table33[[#This Row],[Investment Name]], Investment_Proposal_Calculations[ACT &amp; D Name], Investment_Proposal_Calculations[Ticker **Must Match Investment Proposal Inputs**])</f>
        <v>XCAPX</v>
      </c>
      <c r="D202" s="269">
        <f>_xlfn.XLOOKUP(Table33[[#This Row],[Investment Name]], Investment_Proposal_Calculations[ACT &amp; D Name], Investment_Proposal_Calculations[Sum from Inputs])</f>
        <v>0</v>
      </c>
      <c r="E202" s="340"/>
    </row>
    <row r="203" spans="2:5" ht="16">
      <c r="B203" s="266" t="str">
        <f>'Inv. Proposal Calculations'!B122</f>
        <v xml:space="preserve">Advanced Micro Devices </v>
      </c>
      <c r="C203" s="266" t="str">
        <f>_xlfn.XLOOKUP(Table33[[#This Row],[Investment Name]], Investment_Proposal_Calculations[ACT &amp; D Name], Investment_Proposal_Calculations[Ticker **Must Match Investment Proposal Inputs**])</f>
        <v>AMD</v>
      </c>
      <c r="D203" s="267">
        <f>_xlfn.XLOOKUP(Table33[[#This Row],[Investment Name]], Investment_Proposal_Calculations[ACT &amp; D Name], Investment_Proposal_Calculations[Sum from Inputs])</f>
        <v>0</v>
      </c>
      <c r="E203" s="340"/>
    </row>
    <row r="204" spans="2:5" ht="16">
      <c r="B204" s="268" t="str">
        <f>'Inv. Proposal Calculations'!B123</f>
        <v>American Airlines</v>
      </c>
      <c r="C204" s="268" t="str">
        <f>_xlfn.XLOOKUP(Table33[[#This Row],[Investment Name]], Investment_Proposal_Calculations[ACT &amp; D Name], Investment_Proposal_Calculations[Ticker **Must Match Investment Proposal Inputs**])</f>
        <v>AAL</v>
      </c>
      <c r="D204" s="269">
        <f>_xlfn.XLOOKUP(Table33[[#This Row],[Investment Name]], Investment_Proposal_Calculations[ACT &amp; D Name], Investment_Proposal_Calculations[Sum from Inputs])</f>
        <v>0</v>
      </c>
      <c r="E204" s="340"/>
    </row>
    <row r="205" spans="2:5" ht="16">
      <c r="B205" s="266" t="str">
        <f>'Inv. Proposal Calculations'!B124</f>
        <v>Ares Capital Corp.</v>
      </c>
      <c r="C205" s="266" t="str">
        <f>_xlfn.XLOOKUP(Table33[[#This Row],[Investment Name]], Investment_Proposal_Calculations[ACT &amp; D Name], Investment_Proposal_Calculations[Ticker **Must Match Investment Proposal Inputs**])</f>
        <v>ARCC</v>
      </c>
      <c r="D205" s="267">
        <f>_xlfn.XLOOKUP(Table33[[#This Row],[Investment Name]], Investment_Proposal_Calculations[ACT &amp; D Name], Investment_Proposal_Calculations[Sum from Inputs])</f>
        <v>0</v>
      </c>
      <c r="E205" s="340"/>
    </row>
    <row r="206" spans="2:5" ht="16">
      <c r="B206" s="268" t="str">
        <f>'Inv. Proposal Calculations'!B125</f>
        <v xml:space="preserve">Ark Fintech Innovation ETF </v>
      </c>
      <c r="C206" s="268" t="str">
        <f>_xlfn.XLOOKUP(Table33[[#This Row],[Investment Name]], Investment_Proposal_Calculations[ACT &amp; D Name], Investment_Proposal_Calculations[Ticker **Must Match Investment Proposal Inputs**])</f>
        <v>ARKF</v>
      </c>
      <c r="D206" s="269">
        <f>_xlfn.XLOOKUP(Table33[[#This Row],[Investment Name]], Investment_Proposal_Calculations[ACT &amp; D Name], Investment_Proposal_Calculations[Sum from Inputs])</f>
        <v>0</v>
      </c>
      <c r="E206" s="340"/>
    </row>
    <row r="207" spans="2:5" ht="16">
      <c r="B207" s="266" t="str">
        <f>'Inv. Proposal Calculations'!B126</f>
        <v>BlackRock Health Sciences</v>
      </c>
      <c r="C207" s="266" t="str">
        <f>_xlfn.XLOOKUP(Table33[[#This Row],[Investment Name]], Investment_Proposal_Calculations[ACT &amp; D Name], Investment_Proposal_Calculations[Ticker **Must Match Investment Proposal Inputs**])</f>
        <v>SHSAX</v>
      </c>
      <c r="D207" s="267">
        <f>_xlfn.XLOOKUP(Table33[[#This Row],[Investment Name]], Investment_Proposal_Calculations[ACT &amp; D Name], Investment_Proposal_Calculations[Sum from Inputs])</f>
        <v>0</v>
      </c>
      <c r="E207" s="340"/>
    </row>
    <row r="208" spans="2:5" ht="16">
      <c r="B208" s="268" t="str">
        <f>'Inv. Proposal Calculations'!B127</f>
        <v>Bluerock Residential Growth</v>
      </c>
      <c r="C208" s="268" t="str">
        <f>_xlfn.XLOOKUP(Table33[[#This Row],[Investment Name]], Investment_Proposal_Calculations[ACT &amp; D Name], Investment_Proposal_Calculations[Ticker **Must Match Investment Proposal Inputs**])</f>
        <v>BRG</v>
      </c>
      <c r="D208" s="269">
        <f>_xlfn.XLOOKUP(Table33[[#This Row],[Investment Name]], Investment_Proposal_Calculations[ACT &amp; D Name], Investment_Proposal_Calculations[Sum from Inputs])</f>
        <v>0</v>
      </c>
      <c r="E208" s="340"/>
    </row>
    <row r="209" spans="2:5" ht="16">
      <c r="B209" s="266" t="str">
        <f>'Inv. Proposal Calculations'!B128</f>
        <v>Carnival Corp</v>
      </c>
      <c r="C209" s="266" t="str">
        <f>_xlfn.XLOOKUP(Table33[[#This Row],[Investment Name]], Investment_Proposal_Calculations[ACT &amp; D Name], Investment_Proposal_Calculations[Ticker **Must Match Investment Proposal Inputs**])</f>
        <v>CCL</v>
      </c>
      <c r="D209" s="267">
        <f>_xlfn.XLOOKUP(Table33[[#This Row],[Investment Name]], Investment_Proposal_Calculations[ACT &amp; D Name], Investment_Proposal_Calculations[Sum from Inputs])</f>
        <v>0</v>
      </c>
      <c r="E209" s="340"/>
    </row>
    <row r="210" spans="2:5" ht="16">
      <c r="B210" s="268" t="str">
        <f>'Inv. Proposal Calculations'!B129</f>
        <v>ClearBridge International Growth Fund</v>
      </c>
      <c r="C210" s="268" t="str">
        <f>_xlfn.XLOOKUP(Table33[[#This Row],[Investment Name]], Investment_Proposal_Calculations[ACT &amp; D Name], Investment_Proposal_Calculations[Ticker **Must Match Investment Proposal Inputs**])</f>
        <v>LGGAX</v>
      </c>
      <c r="D210" s="269">
        <f>_xlfn.XLOOKUP(Table33[[#This Row],[Investment Name]], Investment_Proposal_Calculations[ACT &amp; D Name], Investment_Proposal_Calculations[Sum from Inputs])</f>
        <v>0</v>
      </c>
      <c r="E210" s="340"/>
    </row>
    <row r="211" spans="2:5" ht="16">
      <c r="B211" s="266" t="str">
        <f>'Inv. Proposal Calculations'!B130</f>
        <v>Crowdstrike Holdings Inc</v>
      </c>
      <c r="C211" s="266" t="str">
        <f>_xlfn.XLOOKUP(Table33[[#This Row],[Investment Name]], Investment_Proposal_Calculations[ACT &amp; D Name], Investment_Proposal_Calculations[Ticker **Must Match Investment Proposal Inputs**])</f>
        <v>CRWD</v>
      </c>
      <c r="D211" s="267">
        <f>_xlfn.XLOOKUP(Table33[[#This Row],[Investment Name]], Investment_Proposal_Calculations[ACT &amp; D Name], Investment_Proposal_Calculations[Sum from Inputs])</f>
        <v>0</v>
      </c>
      <c r="E211" s="340"/>
    </row>
    <row r="212" spans="2:5" ht="16">
      <c r="B212" s="268" t="str">
        <f>'Inv. Proposal Calculations'!B131</f>
        <v>Delta Airlines</v>
      </c>
      <c r="C212" s="268" t="str">
        <f>_xlfn.XLOOKUP(Table33[[#This Row],[Investment Name]], Investment_Proposal_Calculations[ACT &amp; D Name], Investment_Proposal_Calculations[Ticker **Must Match Investment Proposal Inputs**])</f>
        <v>DAL</v>
      </c>
      <c r="D212" s="269">
        <f>_xlfn.XLOOKUP(Table33[[#This Row],[Investment Name]], Investment_Proposal_Calculations[ACT &amp; D Name], Investment_Proposal_Calculations[Sum from Inputs])</f>
        <v>0</v>
      </c>
      <c r="E212" s="340"/>
    </row>
    <row r="213" spans="2:5" ht="16">
      <c r="B213" s="266" t="str">
        <f>'Inv. Proposal Calculations'!B132</f>
        <v>FS KKR Capital Corp.</v>
      </c>
      <c r="C213" s="266" t="str">
        <f>_xlfn.XLOOKUP(Table33[[#This Row],[Investment Name]], Investment_Proposal_Calculations[ACT &amp; D Name], Investment_Proposal_Calculations[Ticker **Must Match Investment Proposal Inputs**])</f>
        <v>FSK</v>
      </c>
      <c r="D213" s="267">
        <f>_xlfn.XLOOKUP(Table33[[#This Row],[Investment Name]], Investment_Proposal_Calculations[ACT &amp; D Name], Investment_Proposal_Calculations[Sum from Inputs])</f>
        <v>0</v>
      </c>
      <c r="E213" s="340"/>
    </row>
    <row r="214" spans="2:5" ht="16">
      <c r="B214" s="268" t="str">
        <f>'Inv. Proposal Calculations'!B133</f>
        <v>First Trust S&amp;P Barrier Note</v>
      </c>
      <c r="C214" s="268" t="str">
        <f>_xlfn.XLOOKUP(Table33[[#This Row],[Investment Name]], Investment_Proposal_Calculations[ACT &amp; D Name], Investment_Proposal_Calculations[Ticker **Must Match Investment Proposal Inputs**])</f>
        <v>First Trust S&amp;P Barrier Note</v>
      </c>
      <c r="D214" s="269">
        <f>_xlfn.XLOOKUP(Table33[[#This Row],[Investment Name]], Investment_Proposal_Calculations[ACT &amp; D Name], Investment_Proposal_Calculations[Sum from Inputs])</f>
        <v>0</v>
      </c>
      <c r="E214" s="340"/>
    </row>
    <row r="215" spans="2:5" ht="16">
      <c r="B215" s="266" t="str">
        <f>'Inv. Proposal Calculations'!B134</f>
        <v>FT Cboe Vest S&amp;P 500 Dividend Aristocrats Target Income ETF</v>
      </c>
      <c r="C215" s="266" t="str">
        <f>_xlfn.XLOOKUP(Table33[[#This Row],[Investment Name]], Investment_Proposal_Calculations[ACT &amp; D Name], Investment_Proposal_Calculations[Ticker **Must Match Investment Proposal Inputs**])</f>
        <v>KNG</v>
      </c>
      <c r="D215" s="267">
        <f>_xlfn.XLOOKUP(Table33[[#This Row],[Investment Name]], Investment_Proposal_Calculations[ACT &amp; D Name], Investment_Proposal_Calculations[Sum from Inputs])</f>
        <v>0</v>
      </c>
      <c r="E215" s="340"/>
    </row>
    <row r="216" spans="2:5" ht="16">
      <c r="B216" s="268" t="str">
        <f>'Inv. Proposal Calculations'!B135</f>
        <v>First Trust Rising Dividend Achievers</v>
      </c>
      <c r="C216" s="268" t="str">
        <f>_xlfn.XLOOKUP(Table33[[#This Row],[Investment Name]], Investment_Proposal_Calculations[ACT &amp; D Name], Investment_Proposal_Calculations[Ticker **Must Match Investment Proposal Inputs**])</f>
        <v>RDVY</v>
      </c>
      <c r="D216" s="269">
        <f>_xlfn.XLOOKUP(Table33[[#This Row],[Investment Name]], Investment_Proposal_Calculations[ACT &amp; D Name], Investment_Proposal_Calculations[Sum from Inputs])</f>
        <v>0</v>
      </c>
      <c r="E216" s="340"/>
    </row>
    <row r="217" spans="2:5" ht="16">
      <c r="B217" s="266" t="str">
        <f>'Inv. Proposal Calculations'!B136</f>
        <v>Golub Capital BDC</v>
      </c>
      <c r="C217" s="266" t="str">
        <f>_xlfn.XLOOKUP(Table33[[#This Row],[Investment Name]], Investment_Proposal_Calculations[ACT &amp; D Name], Investment_Proposal_Calculations[Ticker **Must Match Investment Proposal Inputs**])</f>
        <v>GBDC</v>
      </c>
      <c r="D217" s="267">
        <f>_xlfn.XLOOKUP(Table33[[#This Row],[Investment Name]], Investment_Proposal_Calculations[ACT &amp; D Name], Investment_Proposal_Calculations[Sum from Inputs])</f>
        <v>0</v>
      </c>
      <c r="E217" s="340"/>
    </row>
    <row r="218" spans="2:5" ht="16">
      <c r="B218" s="268" t="str">
        <f>'Inv. Proposal Calculations'!B137</f>
        <v>Henry James International Select</v>
      </c>
      <c r="C218" s="268" t="str">
        <f>_xlfn.XLOOKUP(Table33[[#This Row],[Investment Name]], Investment_Proposal_Calculations[ACT &amp; D Name], Investment_Proposal_Calculations[Ticker **Must Match Investment Proposal Inputs**])</f>
        <v>Henry James International Select</v>
      </c>
      <c r="D218" s="269">
        <f>_xlfn.XLOOKUP(Table33[[#This Row],[Investment Name]], Investment_Proposal_Calculations[ACT &amp; D Name], Investment_Proposal_Calculations[Sum from Inputs])</f>
        <v>0</v>
      </c>
      <c r="E218" s="340"/>
    </row>
    <row r="219" spans="2:5" ht="16">
      <c r="B219" s="266" t="str">
        <f>'Inv. Proposal Calculations'!B138</f>
        <v>Hilton</v>
      </c>
      <c r="C219" s="266" t="str">
        <f>_xlfn.XLOOKUP(Table33[[#This Row],[Investment Name]], Investment_Proposal_Calculations[ACT &amp; D Name], Investment_Proposal_Calculations[Ticker **Must Match Investment Proposal Inputs**])</f>
        <v>HLT</v>
      </c>
      <c r="D219" s="267">
        <f>_xlfn.XLOOKUP(Table33[[#This Row],[Investment Name]], Investment_Proposal_Calculations[ACT &amp; D Name], Investment_Proposal_Calculations[Sum from Inputs])</f>
        <v>0</v>
      </c>
      <c r="E219" s="340"/>
    </row>
    <row r="220" spans="2:5" ht="16">
      <c r="B220" s="268" t="str">
        <f>'Inv. Proposal Calculations'!B139</f>
        <v>Hyatt</v>
      </c>
      <c r="C220" s="268" t="str">
        <f>_xlfn.XLOOKUP(Table33[[#This Row],[Investment Name]], Investment_Proposal_Calculations[ACT &amp; D Name], Investment_Proposal_Calculations[Ticker **Must Match Investment Proposal Inputs**])</f>
        <v>H</v>
      </c>
      <c r="D220" s="269">
        <f>_xlfn.XLOOKUP(Table33[[#This Row],[Investment Name]], Investment_Proposal_Calculations[ACT &amp; D Name], Investment_Proposal_Calculations[Sum from Inputs])</f>
        <v>0</v>
      </c>
      <c r="E220" s="340"/>
    </row>
    <row r="221" spans="2:5" ht="16">
      <c r="B221" s="266" t="str">
        <f>'Inv. Proposal Calculations'!B140</f>
        <v>International Developed</v>
      </c>
      <c r="C221" s="266" t="str">
        <f>_xlfn.XLOOKUP(Table33[[#This Row],[Investment Name]], Investment_Proposal_Calculations[ACT &amp; D Name], Investment_Proposal_Calculations[Ticker **Must Match Investment Proposal Inputs**])</f>
        <v>IDEV</v>
      </c>
      <c r="D221" s="267">
        <f>_xlfn.XLOOKUP(Table33[[#This Row],[Investment Name]], Investment_Proposal_Calculations[ACT &amp; D Name], Investment_Proposal_Calculations[Sum from Inputs])</f>
        <v>0</v>
      </c>
      <c r="E221" s="340"/>
    </row>
    <row r="222" spans="2:5" ht="16">
      <c r="B222" s="268" t="str">
        <f>'Inv. Proposal Calculations'!B141</f>
        <v xml:space="preserve">International Emerging </v>
      </c>
      <c r="C222" s="268" t="str">
        <f>_xlfn.XLOOKUP(Table33[[#This Row],[Investment Name]], Investment_Proposal_Calculations[ACT &amp; D Name], Investment_Proposal_Calculations[Ticker **Must Match Investment Proposal Inputs**])</f>
        <v xml:space="preserve">International Emerging </v>
      </c>
      <c r="D222" s="269">
        <f>_xlfn.XLOOKUP(Table33[[#This Row],[Investment Name]], Investment_Proposal_Calculations[ACT &amp; D Name], Investment_Proposal_Calculations[Sum from Inputs])</f>
        <v>0</v>
      </c>
      <c r="E222" s="340"/>
    </row>
    <row r="223" spans="2:5" ht="16">
      <c r="B223" s="266" t="str">
        <f>'Inv. Proposal Calculations'!B142</f>
        <v>Invesco Oppenheimer Global Opportunities</v>
      </c>
      <c r="C223" s="266" t="str">
        <f>_xlfn.XLOOKUP(Table33[[#This Row],[Investment Name]], Investment_Proposal_Calculations[ACT &amp; D Name], Investment_Proposal_Calculations[Ticker **Must Match Investment Proposal Inputs**])</f>
        <v>OPGIX</v>
      </c>
      <c r="D223" s="267">
        <f>_xlfn.XLOOKUP(Table33[[#This Row],[Investment Name]], Investment_Proposal_Calculations[ACT &amp; D Name], Investment_Proposal_Calculations[Sum from Inputs])</f>
        <v>0</v>
      </c>
      <c r="E223" s="340"/>
    </row>
    <row r="224" spans="2:5" ht="16">
      <c r="B224" s="268" t="str">
        <f>'Inv. Proposal Calculations'!B143</f>
        <v>JHancock Disciplined Value Mid Cap</v>
      </c>
      <c r="C224" s="268" t="str">
        <f>_xlfn.XLOOKUP(Table33[[#This Row],[Investment Name]], Investment_Proposal_Calculations[ACT &amp; D Name], Investment_Proposal_Calculations[Ticker **Must Match Investment Proposal Inputs**])</f>
        <v>JVMIX</v>
      </c>
      <c r="D224" s="269">
        <f>_xlfn.XLOOKUP(Table33[[#This Row],[Investment Name]], Investment_Proposal_Calculations[ACT &amp; D Name], Investment_Proposal_Calculations[Sum from Inputs])</f>
        <v>0</v>
      </c>
      <c r="E224" s="340"/>
    </row>
    <row r="225" spans="2:5" ht="16">
      <c r="B225" s="266" t="str">
        <f>'Inv. Proposal Calculations'!B144</f>
        <v>JP Morgan</v>
      </c>
      <c r="C225" s="266" t="str">
        <f>_xlfn.XLOOKUP(Table33[[#This Row],[Investment Name]], Investment_Proposal_Calculations[ACT &amp; D Name], Investment_Proposal_Calculations[Ticker **Must Match Investment Proposal Inputs**])</f>
        <v>JPM</v>
      </c>
      <c r="D225" s="267">
        <f>_xlfn.XLOOKUP(Table33[[#This Row],[Investment Name]], Investment_Proposal_Calculations[ACT &amp; D Name], Investment_Proposal_Calculations[Sum from Inputs])</f>
        <v>0</v>
      </c>
      <c r="E225" s="340"/>
    </row>
    <row r="226" spans="2:5" ht="16">
      <c r="B226" s="268" t="str">
        <f>'Inv. Proposal Calculations'!B145</f>
        <v>JPMorgan Equity Premium Income Fund</v>
      </c>
      <c r="C226" s="268" t="str">
        <f>_xlfn.XLOOKUP(Table33[[#This Row],[Investment Name]], Investment_Proposal_Calculations[ACT &amp; D Name], Investment_Proposal_Calculations[Ticker **Must Match Investment Proposal Inputs**])</f>
        <v>JEPIX</v>
      </c>
      <c r="D226" s="269">
        <f>_xlfn.XLOOKUP(Table33[[#This Row],[Investment Name]], Investment_Proposal_Calculations[ACT &amp; D Name], Investment_Proposal_Calculations[Sum from Inputs])</f>
        <v>0</v>
      </c>
      <c r="E226" s="340"/>
    </row>
    <row r="227" spans="2:5" ht="16">
      <c r="B227" s="266" t="str">
        <f>'Inv. Proposal Calculations'!B146</f>
        <v>JP Morgan Mid Cap Growth</v>
      </c>
      <c r="C227" s="266" t="str">
        <f>_xlfn.XLOOKUP(Table33[[#This Row],[Investment Name]], Investment_Proposal_Calculations[ACT &amp; D Name], Investment_Proposal_Calculations[Ticker **Must Match Investment Proposal Inputs**])</f>
        <v>HLGEX</v>
      </c>
      <c r="D227" s="267">
        <f>_xlfn.XLOOKUP(Table33[[#This Row],[Investment Name]], Investment_Proposal_Calculations[ACT &amp; D Name], Investment_Proposal_Calculations[Sum from Inputs])</f>
        <v>0</v>
      </c>
      <c r="E227" s="340"/>
    </row>
    <row r="228" spans="2:5" ht="16">
      <c r="B228" s="268" t="str">
        <f>'Inv. Proposal Calculations'!B147</f>
        <v>Main Street Capital Corporation</v>
      </c>
      <c r="C228" s="268" t="str">
        <f>_xlfn.XLOOKUP(Table33[[#This Row],[Investment Name]], Investment_Proposal_Calculations[ACT &amp; D Name], Investment_Proposal_Calculations[Ticker **Must Match Investment Proposal Inputs**])</f>
        <v>MAIN</v>
      </c>
      <c r="D228" s="269">
        <f>_xlfn.XLOOKUP(Table33[[#This Row],[Investment Name]], Investment_Proposal_Calculations[ACT &amp; D Name], Investment_Proposal_Calculations[Sum from Inputs])</f>
        <v>0</v>
      </c>
      <c r="E228" s="340"/>
    </row>
    <row r="229" spans="2:5" ht="16">
      <c r="B229" s="266" t="str">
        <f>'Inv. Proposal Calculations'!B148</f>
        <v>Marriott</v>
      </c>
      <c r="C229" s="266" t="str">
        <f>_xlfn.XLOOKUP(Table33[[#This Row],[Investment Name]], Investment_Proposal_Calculations[ACT &amp; D Name], Investment_Proposal_Calculations[Ticker **Must Match Investment Proposal Inputs**])</f>
        <v>MAR</v>
      </c>
      <c r="D229" s="267">
        <f>_xlfn.XLOOKUP(Table33[[#This Row],[Investment Name]], Investment_Proposal_Calculations[ACT &amp; D Name], Investment_Proposal_Calculations[Sum from Inputs])</f>
        <v>0</v>
      </c>
      <c r="E229" s="340"/>
    </row>
    <row r="230" spans="2:5" ht="16">
      <c r="B230" s="268" t="str">
        <f>'Inv. Proposal Calculations'!B149</f>
        <v>MidCap Financial Investment Corp</v>
      </c>
      <c r="C230" s="268" t="str">
        <f>_xlfn.XLOOKUP(Table33[[#This Row],[Investment Name]], Investment_Proposal_Calculations[ACT &amp; D Name], Investment_Proposal_Calculations[Ticker **Must Match Investment Proposal Inputs**])</f>
        <v>MFIC</v>
      </c>
      <c r="D230" s="269">
        <f>_xlfn.XLOOKUP(Table33[[#This Row],[Investment Name]], Investment_Proposal_Calculations[ACT &amp; D Name], Investment_Proposal_Calculations[Sum from Inputs])</f>
        <v>0</v>
      </c>
      <c r="E230" s="340"/>
    </row>
    <row r="231" spans="2:5" ht="16">
      <c r="B231" s="266" t="str">
        <f>'Inv. Proposal Calculations'!B150</f>
        <v>Needham Small Cap Growth</v>
      </c>
      <c r="C231" s="266" t="str">
        <f>_xlfn.XLOOKUP(Table33[[#This Row],[Investment Name]], Investment_Proposal_Calculations[ACT &amp; D Name], Investment_Proposal_Calculations[Ticker **Must Match Investment Proposal Inputs**])</f>
        <v>NESIX</v>
      </c>
      <c r="D231" s="267">
        <f>_xlfn.XLOOKUP(Table33[[#This Row],[Investment Name]], Investment_Proposal_Calculations[ACT &amp; D Name], Investment_Proposal_Calculations[Sum from Inputs])</f>
        <v>0</v>
      </c>
      <c r="E231" s="340"/>
    </row>
    <row r="232" spans="2:5" ht="16">
      <c r="B232" s="268" t="str">
        <f>'Inv. Proposal Calculations'!B151</f>
        <v>Norwegian Cruise Line</v>
      </c>
      <c r="C232" s="268" t="str">
        <f>_xlfn.XLOOKUP(Table33[[#This Row],[Investment Name]], Investment_Proposal_Calculations[ACT &amp; D Name], Investment_Proposal_Calculations[Ticker **Must Match Investment Proposal Inputs**])</f>
        <v>NCLH</v>
      </c>
      <c r="D232" s="269">
        <f>_xlfn.XLOOKUP(Table33[[#This Row],[Investment Name]], Investment_Proposal_Calculations[ACT &amp; D Name], Investment_Proposal_Calculations[Sum from Inputs])</f>
        <v>0</v>
      </c>
      <c r="E232" s="340"/>
    </row>
    <row r="233" spans="2:5" ht="16">
      <c r="B233" s="266" t="str">
        <f>'Inv. Proposal Calculations'!B152</f>
        <v>Owl Rock Capital Corp</v>
      </c>
      <c r="C233" s="266" t="str">
        <f>_xlfn.XLOOKUP(Table33[[#This Row],[Investment Name]], Investment_Proposal_Calculations[ACT &amp; D Name], Investment_Proposal_Calculations[Ticker **Must Match Investment Proposal Inputs**])</f>
        <v>ORCC</v>
      </c>
      <c r="D233" s="267">
        <f>_xlfn.XLOOKUP(Table33[[#This Row],[Investment Name]], Investment_Proposal_Calculations[ACT &amp; D Name], Investment_Proposal_Calculations[Sum from Inputs])</f>
        <v>0</v>
      </c>
      <c r="E233" s="340"/>
    </row>
    <row r="234" spans="2:5" ht="16">
      <c r="B234" s="268" t="str">
        <f>'Inv. Proposal Calculations'!B153</f>
        <v>PGIM Jennison Global Opportunities</v>
      </c>
      <c r="C234" s="268" t="str">
        <f>_xlfn.XLOOKUP(Table33[[#This Row],[Investment Name]], Investment_Proposal_Calculations[ACT &amp; D Name], Investment_Proposal_Calculations[Ticker **Must Match Investment Proposal Inputs**])</f>
        <v>PRJZX</v>
      </c>
      <c r="D234" s="269">
        <f>_xlfn.XLOOKUP(Table33[[#This Row],[Investment Name]], Investment_Proposal_Calculations[ACT &amp; D Name], Investment_Proposal_Calculations[Sum from Inputs])</f>
        <v>0</v>
      </c>
      <c r="E234" s="340"/>
    </row>
    <row r="235" spans="2:5" ht="16">
      <c r="B235" s="266" t="str">
        <f>'Inv. Proposal Calculations'!B154</f>
        <v>PGIM Jennsion Emerging Markets Equities Opportunity</v>
      </c>
      <c r="C235" s="266" t="str">
        <f>_xlfn.XLOOKUP(Table33[[#This Row],[Investment Name]], Investment_Proposal_Calculations[ACT &amp; D Name], Investment_Proposal_Calculations[Ticker **Must Match Investment Proposal Inputs**])</f>
        <v>PDEZX</v>
      </c>
      <c r="D235" s="267">
        <f>_xlfn.XLOOKUP(Table33[[#This Row],[Investment Name]], Investment_Proposal_Calculations[ACT &amp; D Name], Investment_Proposal_Calculations[Sum from Inputs])</f>
        <v>0</v>
      </c>
      <c r="E235" s="340"/>
    </row>
    <row r="236" spans="2:5" ht="16">
      <c r="B236" s="268" t="str">
        <f>'Inv. Proposal Calculations'!B155</f>
        <v>Plymouth Industrial REIT</v>
      </c>
      <c r="C236" s="268" t="str">
        <f>_xlfn.XLOOKUP(Table33[[#This Row],[Investment Name]], Investment_Proposal_Calculations[ACT &amp; D Name], Investment_Proposal_Calculations[Ticker **Must Match Investment Proposal Inputs**])</f>
        <v>PLYM</v>
      </c>
      <c r="D236" s="269">
        <f>_xlfn.XLOOKUP(Table33[[#This Row],[Investment Name]], Investment_Proposal_Calculations[ACT &amp; D Name], Investment_Proposal_Calculations[Sum from Inputs])</f>
        <v>0</v>
      </c>
      <c r="E236" s="340"/>
    </row>
    <row r="237" spans="2:5" ht="16">
      <c r="B237" s="266" t="str">
        <f>'Inv. Proposal Calculations'!B156</f>
        <v>Royal Caribbean Cruises</v>
      </c>
      <c r="C237" s="266" t="str">
        <f>_xlfn.XLOOKUP(Table33[[#This Row],[Investment Name]], Investment_Proposal_Calculations[ACT &amp; D Name], Investment_Proposal_Calculations[Ticker **Must Match Investment Proposal Inputs**])</f>
        <v>RCL</v>
      </c>
      <c r="D237" s="267">
        <f>_xlfn.XLOOKUP(Table33[[#This Row],[Investment Name]], Investment_Proposal_Calculations[ACT &amp; D Name], Investment_Proposal_Calculations[Sum from Inputs])</f>
        <v>0</v>
      </c>
      <c r="E237" s="340"/>
    </row>
    <row r="238" spans="2:5" ht="16">
      <c r="B238" s="268" t="str">
        <f>'Inv. Proposal Calculations'!B157</f>
        <v>Sixth Street Specialty Lending</v>
      </c>
      <c r="C238" s="268" t="str">
        <f>_xlfn.XLOOKUP(Table33[[#This Row],[Investment Name]], Investment_Proposal_Calculations[ACT &amp; D Name], Investment_Proposal_Calculations[Ticker **Must Match Investment Proposal Inputs**])</f>
        <v>TSLX</v>
      </c>
      <c r="D238" s="269">
        <f>_xlfn.XLOOKUP(Table33[[#This Row],[Investment Name]], Investment_Proposal_Calculations[ACT &amp; D Name], Investment_Proposal_Calculations[Sum from Inputs])</f>
        <v>0</v>
      </c>
      <c r="E238" s="340"/>
    </row>
    <row r="239" spans="2:5" ht="16">
      <c r="B239" s="266" t="str">
        <f>'Inv. Proposal Calculations'!B158</f>
        <v>S&amp;P500 Structured Note - Growth</v>
      </c>
      <c r="C239" s="266" t="str">
        <f>_xlfn.XLOOKUP(Table33[[#This Row],[Investment Name]], Investment_Proposal_Calculations[ACT &amp; D Name], Investment_Proposal_Calculations[Ticker **Must Match Investment Proposal Inputs**])</f>
        <v>SPX</v>
      </c>
      <c r="D239" s="267">
        <f>_xlfn.XLOOKUP(Table33[[#This Row],[Investment Name]], Investment_Proposal_Calculations[ACT &amp; D Name], Investment_Proposal_Calculations[Sum from Inputs])</f>
        <v>0</v>
      </c>
      <c r="E239" s="340"/>
    </row>
    <row r="240" spans="2:5" ht="16">
      <c r="B240" s="268" t="str">
        <f>'Inv. Proposal Calculations'!B159</f>
        <v>Southwest Airlines</v>
      </c>
      <c r="C240" s="268" t="str">
        <f>_xlfn.XLOOKUP(Table33[[#This Row],[Investment Name]], Investment_Proposal_Calculations[ACT &amp; D Name], Investment_Proposal_Calculations[Ticker **Must Match Investment Proposal Inputs**])</f>
        <v>LUV</v>
      </c>
      <c r="D240" s="269">
        <f>_xlfn.XLOOKUP(Table33[[#This Row],[Investment Name]], Investment_Proposal_Calculations[ACT &amp; D Name], Investment_Proposal_Calculations[Sum from Inputs])</f>
        <v>0</v>
      </c>
      <c r="E240" s="340"/>
    </row>
    <row r="241" spans="2:5" ht="16">
      <c r="B241" s="266" t="str">
        <f>'Inv. Proposal Calculations'!B160</f>
        <v xml:space="preserve">Taiwan Semiconductor </v>
      </c>
      <c r="C241" s="266" t="str">
        <f>_xlfn.XLOOKUP(Table33[[#This Row],[Investment Name]], Investment_Proposal_Calculations[ACT &amp; D Name], Investment_Proposal_Calculations[Ticker **Must Match Investment Proposal Inputs**])</f>
        <v>TSM</v>
      </c>
      <c r="D241" s="267">
        <f>_xlfn.XLOOKUP(Table33[[#This Row],[Investment Name]], Investment_Proposal_Calculations[ACT &amp; D Name], Investment_Proposal_Calculations[Sum from Inputs])</f>
        <v>0</v>
      </c>
      <c r="E241" s="340"/>
    </row>
    <row r="242" spans="2:5" ht="16">
      <c r="B242" s="268" t="str">
        <f>'Inv. Proposal Calculations'!B161</f>
        <v>Undiscovered Managers Behavioral Value</v>
      </c>
      <c r="C242" s="268" t="str">
        <f>_xlfn.XLOOKUP(Table33[[#This Row],[Investment Name]], Investment_Proposal_Calculations[ACT &amp; D Name], Investment_Proposal_Calculations[Ticker **Must Match Investment Proposal Inputs**])</f>
        <v>UBVSX</v>
      </c>
      <c r="D242" s="269">
        <f>_xlfn.XLOOKUP(Table33[[#This Row],[Investment Name]], Investment_Proposal_Calculations[ACT &amp; D Name], Investment_Proposal_Calculations[Sum from Inputs])</f>
        <v>0</v>
      </c>
      <c r="E242" s="340"/>
    </row>
    <row r="243" spans="2:5" ht="16">
      <c r="B243" s="266" t="str">
        <f>'Inv. Proposal Calculations'!B162</f>
        <v>Zscaler Inc</v>
      </c>
      <c r="C243" s="266" t="str">
        <f>_xlfn.XLOOKUP(Table33[[#This Row],[Investment Name]], Investment_Proposal_Calculations[ACT &amp; D Name], Investment_Proposal_Calculations[Ticker **Must Match Investment Proposal Inputs**])</f>
        <v>ZS</v>
      </c>
      <c r="D243" s="267">
        <f>_xlfn.XLOOKUP(Table33[[#This Row],[Investment Name]], Investment_Proposal_Calculations[ACT &amp; D Name], Investment_Proposal_Calculations[Sum from Inputs])</f>
        <v>0</v>
      </c>
      <c r="E243" s="340"/>
    </row>
    <row r="247" spans="2:5">
      <c r="D247" s="335"/>
    </row>
  </sheetData>
  <sheetProtection formatCells="0" insertColumns="0" insertRows="0" insertHyperlinks="0" deleteColumns="0" deleteRows="0" sort="0" autoFilter="0" pivotTables="0"/>
  <protectedRanges>
    <protectedRange sqref="C5:C11 C13:C15" name="Inputs"/>
  </protectedRanges>
  <mergeCells count="16">
    <mergeCell ref="C15:D15"/>
    <mergeCell ref="B1:D1"/>
    <mergeCell ref="G73:I73"/>
    <mergeCell ref="E73:F73"/>
    <mergeCell ref="B84:C84"/>
    <mergeCell ref="B144:C144"/>
    <mergeCell ref="B78:C78"/>
    <mergeCell ref="B116:C116"/>
    <mergeCell ref="B130:C130"/>
    <mergeCell ref="B133:C133"/>
    <mergeCell ref="B122:C122"/>
    <mergeCell ref="B98:C98"/>
    <mergeCell ref="B92:C92"/>
    <mergeCell ref="B105:C105"/>
    <mergeCell ref="B111:C111"/>
    <mergeCell ref="B88:C88"/>
  </mergeCells>
  <conditionalFormatting sqref="G79 G85 G89 G93 G99 G106 G112 G117 G123 G131 G134 G145">
    <cfRule type="expression" dxfId="259" priority="95">
      <formula>$E79&lt;&gt;""</formula>
    </cfRule>
  </conditionalFormatting>
  <conditionalFormatting sqref="J99:J103">
    <cfRule type="expression" dxfId="258" priority="94">
      <formula>$G$99="Yes"</formula>
    </cfRule>
  </conditionalFormatting>
  <conditionalFormatting sqref="J106:J109">
    <cfRule type="expression" dxfId="257" priority="92" stopIfTrue="1">
      <formula>$G$106="Yes"</formula>
    </cfRule>
  </conditionalFormatting>
  <conditionalFormatting sqref="J112:J114">
    <cfRule type="expression" dxfId="256" priority="80">
      <formula>$G$112="Yes"</formula>
    </cfRule>
  </conditionalFormatting>
  <conditionalFormatting sqref="J89:J90">
    <cfRule type="expression" dxfId="255" priority="63">
      <formula>$G$89="Yes"</formula>
    </cfRule>
  </conditionalFormatting>
  <conditionalFormatting sqref="J85:J86">
    <cfRule type="expression" dxfId="254" priority="62">
      <formula>$G$85="Yes"</formula>
    </cfRule>
  </conditionalFormatting>
  <conditionalFormatting sqref="J79:J82">
    <cfRule type="expression" dxfId="253" priority="61">
      <formula>$G$79="Yes"</formula>
    </cfRule>
  </conditionalFormatting>
  <conditionalFormatting sqref="J117:J120">
    <cfRule type="expression" dxfId="252" priority="59">
      <formula>$G$117="Yes"</formula>
    </cfRule>
  </conditionalFormatting>
  <conditionalFormatting sqref="J123:J128">
    <cfRule type="expression" dxfId="251" priority="58">
      <formula>$G$123="Yes"</formula>
    </cfRule>
  </conditionalFormatting>
  <conditionalFormatting sqref="J131">
    <cfRule type="expression" dxfId="250" priority="57">
      <formula>$G$131="Yes"</formula>
    </cfRule>
  </conditionalFormatting>
  <conditionalFormatting sqref="J134:J142">
    <cfRule type="expression" dxfId="249" priority="52">
      <formula>$G$134="Yes"</formula>
    </cfRule>
  </conditionalFormatting>
  <conditionalFormatting sqref="J145:J146">
    <cfRule type="expression" dxfId="248" priority="43">
      <formula>$G$145="Yes"</formula>
    </cfRule>
  </conditionalFormatting>
  <conditionalFormatting sqref="J93:J96">
    <cfRule type="expression" dxfId="247" priority="1">
      <formula>$G$93="Yes"</formula>
    </cfRule>
  </conditionalFormatting>
  <dataValidations count="1">
    <dataValidation type="list" allowBlank="1" showInputMessage="1" showErrorMessage="1" sqref="H130 H116 G89 G99 H98 G106 G131 G112 G93:H93 H78 G85 G123 G79 G117 G134 G145" xr:uid="{F4763478-65F0-7A44-A9F1-A4E416CDE8BB}">
      <formula1>"Yes, No"</formula1>
    </dataValidation>
  </dataValidations>
  <pageMargins left="0.7" right="0.7" top="0.75" bottom="0.75" header="0.3" footer="0.3"/>
  <pageSetup orientation="portrait" horizontalDpi="0" verticalDpi="0"/>
  <ignoredErrors>
    <ignoredError sqref="K135:K139 I99 K145:K146" calculatedColumn="1"/>
  </ignoredErrors>
  <drawing r:id="rId1"/>
  <legacyDrawing r:id="rId2"/>
  <mc:AlternateContent xmlns:mc="http://schemas.openxmlformats.org/markup-compatibility/2006">
    <mc:Choice Requires="x14">
      <controls>
        <mc:AlternateContent xmlns:mc="http://schemas.openxmlformats.org/markup-compatibility/2006">
          <mc:Choice Requires="x14">
            <control shapeId="9287" r:id="rId3" name="Button 71">
              <controlPr defaultSize="0" print="0" autoFill="0" autoPict="0" macro="[0]!Sheet6.ChangeProposalDatetoToday">
                <anchor moveWithCells="1" sizeWithCells="1">
                  <from>
                    <xdr:col>4</xdr:col>
                    <xdr:colOff>63500</xdr:colOff>
                    <xdr:row>14</xdr:row>
                    <xdr:rowOff>127000</xdr:rowOff>
                  </from>
                  <to>
                    <xdr:col>4</xdr:col>
                    <xdr:colOff>2171700</xdr:colOff>
                    <xdr:row>16</xdr:row>
                    <xdr:rowOff>101600</xdr:rowOff>
                  </to>
                </anchor>
              </controlPr>
            </control>
          </mc:Choice>
        </mc:AlternateContent>
        <mc:AlternateContent xmlns:mc="http://schemas.openxmlformats.org/markup-compatibility/2006">
          <mc:Choice Requires="x14">
            <control shapeId="9288" r:id="rId4" name="Button 72">
              <controlPr defaultSize="0" print="0" autoFill="0" autoPict="0" macro="[0]!Sheet6.ChangeProposalDatetoTomorrow">
                <anchor moveWithCells="1" sizeWithCells="1">
                  <from>
                    <xdr:col>4</xdr:col>
                    <xdr:colOff>2235200</xdr:colOff>
                    <xdr:row>14</xdr:row>
                    <xdr:rowOff>127000</xdr:rowOff>
                  </from>
                  <to>
                    <xdr:col>5</xdr:col>
                    <xdr:colOff>406400</xdr:colOff>
                    <xdr:row>16</xdr:row>
                    <xdr:rowOff>88900</xdr:rowOff>
                  </to>
                </anchor>
              </controlPr>
            </control>
          </mc:Choice>
        </mc:AlternateContent>
        <mc:AlternateContent xmlns:mc="http://schemas.openxmlformats.org/markup-compatibility/2006">
          <mc:Choice Requires="x14">
            <control shapeId="9325" r:id="rId5" name="Button 109">
              <controlPr defaultSize="0" print="0" autoFill="0" autoPict="0" macro="[0]!Clear_Section_4">
                <anchor moveWithCells="1" sizeWithCells="1">
                  <from>
                    <xdr:col>1</xdr:col>
                    <xdr:colOff>3289300</xdr:colOff>
                    <xdr:row>147</xdr:row>
                    <xdr:rowOff>50800</xdr:rowOff>
                  </from>
                  <to>
                    <xdr:col>2</xdr:col>
                    <xdr:colOff>2120900</xdr:colOff>
                    <xdr:row>147</xdr:row>
                    <xdr:rowOff>330200</xdr:rowOff>
                  </to>
                </anchor>
              </controlPr>
            </control>
          </mc:Choice>
        </mc:AlternateContent>
        <mc:AlternateContent xmlns:mc="http://schemas.openxmlformats.org/markup-compatibility/2006">
          <mc:Choice Requires="x14">
            <control shapeId="9335" r:id="rId6" name="Button 119">
              <controlPr defaultSize="0" print="0" autoFill="0" autoPict="0" macro="[0]!Clear_Section_3">
                <anchor moveWithCells="1" sizeWithCells="1">
                  <from>
                    <xdr:col>1</xdr:col>
                    <xdr:colOff>2819400</xdr:colOff>
                    <xdr:row>72</xdr:row>
                    <xdr:rowOff>50800</xdr:rowOff>
                  </from>
                  <to>
                    <xdr:col>2</xdr:col>
                    <xdr:colOff>1612900</xdr:colOff>
                    <xdr:row>72</xdr:row>
                    <xdr:rowOff>342900</xdr:rowOff>
                  </to>
                </anchor>
              </controlPr>
            </control>
          </mc:Choice>
        </mc:AlternateContent>
        <mc:AlternateContent xmlns:mc="http://schemas.openxmlformats.org/markup-compatibility/2006">
          <mc:Choice Requires="x14">
            <control shapeId="9337" r:id="rId7" name="Button 121">
              <controlPr defaultSize="0" print="0" autoFill="0" autoPict="0" macro="[0]!Clear_Alts_And_Interval_Fund_Inputs">
                <anchor moveWithCells="1" sizeWithCells="1">
                  <from>
                    <xdr:col>1</xdr:col>
                    <xdr:colOff>4419600</xdr:colOff>
                    <xdr:row>40</xdr:row>
                    <xdr:rowOff>88900</xdr:rowOff>
                  </from>
                  <to>
                    <xdr:col>3</xdr:col>
                    <xdr:colOff>914400</xdr:colOff>
                    <xdr:row>40</xdr:row>
                    <xdr:rowOff>304800</xdr:rowOff>
                  </to>
                </anchor>
              </controlPr>
            </control>
          </mc:Choice>
        </mc:AlternateContent>
        <mc:AlternateContent xmlns:mc="http://schemas.openxmlformats.org/markup-compatibility/2006">
          <mc:Choice Requires="x14">
            <control shapeId="9339" r:id="rId8" name="Button 123">
              <controlPr defaultSize="0" print="0" autoFill="0" autoPict="0" macro="[0]!Clear_Section_2">
                <anchor moveWithCells="1" sizeWithCells="1">
                  <from>
                    <xdr:col>1</xdr:col>
                    <xdr:colOff>4203700</xdr:colOff>
                    <xdr:row>17</xdr:row>
                    <xdr:rowOff>50800</xdr:rowOff>
                  </from>
                  <to>
                    <xdr:col>2</xdr:col>
                    <xdr:colOff>3149600</xdr:colOff>
                    <xdr:row>17</xdr:row>
                    <xdr:rowOff>317500</xdr:rowOff>
                  </to>
                </anchor>
              </controlPr>
            </control>
          </mc:Choice>
        </mc:AlternateContent>
        <mc:AlternateContent xmlns:mc="http://schemas.openxmlformats.org/markup-compatibility/2006">
          <mc:Choice Requires="x14">
            <control shapeId="9347" r:id="rId9" name="Button 131">
              <controlPr defaultSize="0" print="0" autoFill="0" autoPict="0" macro="[0]!Clear_Section_1">
                <anchor moveWithCells="1" sizeWithCells="1">
                  <from>
                    <xdr:col>1</xdr:col>
                    <xdr:colOff>2641600</xdr:colOff>
                    <xdr:row>2</xdr:row>
                    <xdr:rowOff>50800</xdr:rowOff>
                  </from>
                  <to>
                    <xdr:col>2</xdr:col>
                    <xdr:colOff>876300</xdr:colOff>
                    <xdr:row>2</xdr:row>
                    <xdr:rowOff>330200</xdr:rowOff>
                  </to>
                </anchor>
              </controlPr>
            </control>
          </mc:Choice>
        </mc:AlternateContent>
        <mc:AlternateContent xmlns:mc="http://schemas.openxmlformats.org/markup-compatibility/2006">
          <mc:Choice Requires="x14">
            <control shapeId="9350" r:id="rId10" name="Button 134">
              <controlPr defaultSize="0" print="0" autoFill="0" autoPict="0" macro="[0]!Clear_All_Inputs">
                <anchor moveWithCells="1" sizeWithCells="1">
                  <from>
                    <xdr:col>5</xdr:col>
                    <xdr:colOff>2159000</xdr:colOff>
                    <xdr:row>2</xdr:row>
                    <xdr:rowOff>50800</xdr:rowOff>
                  </from>
                  <to>
                    <xdr:col>7</xdr:col>
                    <xdr:colOff>12700</xdr:colOff>
                    <xdr:row>2</xdr:row>
                    <xdr:rowOff>330200</xdr:rowOff>
                  </to>
                </anchor>
              </controlPr>
            </control>
          </mc:Choice>
        </mc:AlternateContent>
        <mc:AlternateContent xmlns:mc="http://schemas.openxmlformats.org/markup-compatibility/2006">
          <mc:Choice Requires="x14">
            <control shapeId="9388" r:id="rId11" name="Button 172">
              <controlPr defaultSize="0" print="0" autoFill="0" autoPict="0" macro="[0]!Test_Data">
                <anchor moveWithCells="1" sizeWithCells="1">
                  <from>
                    <xdr:col>5</xdr:col>
                    <xdr:colOff>2146300</xdr:colOff>
                    <xdr:row>4</xdr:row>
                    <xdr:rowOff>0</xdr:rowOff>
                  </from>
                  <to>
                    <xdr:col>6</xdr:col>
                    <xdr:colOff>1231900</xdr:colOff>
                    <xdr:row>5</xdr:row>
                    <xdr:rowOff>177800</xdr:rowOff>
                  </to>
                </anchor>
              </controlPr>
            </control>
          </mc:Choice>
        </mc:AlternateContent>
      </controls>
    </mc:Choice>
  </mc:AlternateContent>
  <tableParts count="25">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s>
  <extLst>
    <ext xmlns:x14="http://schemas.microsoft.com/office/spreadsheetml/2009/9/main" uri="{CCE6A557-97BC-4b89-ADB6-D9C93CAAB3DF}">
      <x14:dataValidations xmlns:xm="http://schemas.microsoft.com/office/excel/2006/main" count="3">
        <x14:dataValidation type="list" allowBlank="1" showInputMessage="1" showErrorMessage="1" xr:uid="{8F328CBA-FF62-1A4D-B1F6-7FCEFF9B6691}">
          <x14:formula1>
            <xm:f>'Inv. Proposal Calculations'!$B$17:$B$23</xm:f>
          </x14:formula1>
          <xm:sqref>C14</xm:sqref>
        </x14:dataValidation>
        <x14:dataValidation type="list" allowBlank="1" showInputMessage="1" showErrorMessage="1" xr:uid="{91DF4187-58CB-5A42-A14B-14C00EBFE0D8}">
          <x14:formula1>
            <xm:f>'Inv. Proposal Calculations'!$B$30:$B$35</xm:f>
          </x14:formula1>
          <xm:sqref>B24</xm:sqref>
        </x14:dataValidation>
        <x14:dataValidation type="list" allowBlank="1" showInputMessage="1" showErrorMessage="1" xr:uid="{324A5C2A-4512-2A4F-B036-2B947BF4C4F4}">
          <x14:formula1>
            <xm:f>'Inv. Proposal Calculations'!$E$5:$E$23</xm:f>
          </x14:formula1>
          <xm:sqref>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ED2B8-302B-7644-B947-8852341C9177}">
  <sheetPr codeName="Sheet13">
    <tabColor theme="5" tint="-0.249977111117893"/>
  </sheetPr>
  <dimension ref="A1"/>
  <sheetViews>
    <sheetView workbookViewId="0">
      <selection activeCell="E52" sqref="E52"/>
    </sheetView>
  </sheetViews>
  <sheetFormatPr baseColWidth="10" defaultColWidth="11.5" defaultRowHeight="15"/>
  <sheetData/>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32FA1C-68A3-144D-BAC2-EE0EE0BA4DC6}">
  <sheetPr codeName="Sheet11">
    <tabColor theme="4"/>
    <pageSetUpPr fitToPage="1"/>
  </sheetPr>
  <dimension ref="B3:U250"/>
  <sheetViews>
    <sheetView view="pageBreakPreview" zoomScale="69" zoomScaleNormal="100" zoomScaleSheetLayoutView="69" workbookViewId="0">
      <selection activeCell="D125" sqref="D125"/>
    </sheetView>
  </sheetViews>
  <sheetFormatPr baseColWidth="10" defaultColWidth="12.1640625" defaultRowHeight="15"/>
  <cols>
    <col min="1" max="1" width="12.1640625" style="211"/>
    <col min="2" max="2" width="89.5" style="211" customWidth="1"/>
    <col min="3" max="3" width="16.83203125" style="211" bestFit="1" customWidth="1"/>
    <col min="4" max="4" width="27.33203125" style="211" bestFit="1" customWidth="1"/>
    <col min="5" max="5" width="14" style="211" bestFit="1" customWidth="1"/>
    <col min="6" max="6" width="12.1640625" style="211"/>
    <col min="7" max="7" width="13.83203125" style="211" bestFit="1" customWidth="1"/>
    <col min="8" max="8" width="34" style="211" bestFit="1" customWidth="1"/>
    <col min="9" max="9" width="12.1640625" style="227" hidden="1" customWidth="1"/>
    <col min="10" max="10" width="12.1640625" style="211"/>
    <col min="11" max="11" width="59.1640625" style="211" bestFit="1" customWidth="1"/>
    <col min="12" max="12" width="20" style="211" bestFit="1" customWidth="1"/>
    <col min="13" max="13" width="61.83203125" style="211" bestFit="1" customWidth="1"/>
    <col min="14" max="14" width="16.5" style="211" bestFit="1" customWidth="1"/>
    <col min="15" max="15" width="15.6640625" style="211" bestFit="1" customWidth="1"/>
    <col min="16" max="16" width="16.6640625" style="211" bestFit="1" customWidth="1"/>
    <col min="17" max="17" width="18" style="211" bestFit="1" customWidth="1"/>
    <col min="18" max="21" width="4" style="211" bestFit="1" customWidth="1"/>
    <col min="22" max="16384" width="12.1640625" style="211"/>
  </cols>
  <sheetData>
    <row r="3" spans="2:21">
      <c r="I3" s="212" t="s">
        <v>118</v>
      </c>
    </row>
    <row r="4" spans="2:21">
      <c r="I4" s="214" t="s">
        <v>119</v>
      </c>
    </row>
    <row r="5" spans="2:21" ht="16">
      <c r="I5" s="215" t="s">
        <v>120</v>
      </c>
      <c r="K5" s="213"/>
      <c r="L5" s="213"/>
      <c r="M5" s="213" t="s">
        <v>26</v>
      </c>
      <c r="N5" s="213"/>
      <c r="O5" s="213"/>
      <c r="P5" s="213"/>
      <c r="Q5" s="213"/>
      <c r="R5" s="213"/>
      <c r="S5" s="213"/>
      <c r="T5" s="213"/>
      <c r="U5" s="213"/>
    </row>
    <row r="6" spans="2:21" ht="16">
      <c r="I6" s="212" t="s">
        <v>121</v>
      </c>
      <c r="K6" s="213"/>
      <c r="L6" s="213"/>
      <c r="M6" s="213"/>
      <c r="N6" s="213"/>
      <c r="O6" s="213"/>
      <c r="P6" s="213"/>
      <c r="Q6" s="213"/>
      <c r="R6" s="213"/>
      <c r="S6" s="213"/>
      <c r="T6" s="213"/>
      <c r="U6" s="213"/>
    </row>
    <row r="7" spans="2:21" ht="16" hidden="1">
      <c r="K7" s="213"/>
      <c r="L7" s="213"/>
      <c r="M7" s="213"/>
      <c r="N7" s="213"/>
      <c r="O7" s="213"/>
      <c r="P7" s="213"/>
      <c r="Q7" s="213"/>
      <c r="R7" s="213"/>
      <c r="S7" s="213"/>
      <c r="T7" s="213"/>
      <c r="U7" s="213"/>
    </row>
    <row r="8" spans="2:21" ht="16" hidden="1">
      <c r="K8" s="213"/>
      <c r="L8" s="213"/>
      <c r="M8" s="213"/>
      <c r="N8" s="213"/>
      <c r="O8" s="213"/>
      <c r="P8" s="213"/>
      <c r="Q8" s="213"/>
      <c r="R8" s="213"/>
      <c r="S8" s="213"/>
      <c r="T8" s="213"/>
      <c r="U8" s="213"/>
    </row>
    <row r="9" spans="2:21" ht="30">
      <c r="B9" s="355" t="str">
        <f>'Investment Proposal Inputs'!B1</f>
        <v xml:space="preserve"> Investment Proposal</v>
      </c>
      <c r="C9" s="355"/>
      <c r="D9" s="355"/>
      <c r="E9" s="355"/>
      <c r="F9" s="355"/>
      <c r="G9" s="355"/>
      <c r="H9" s="355"/>
      <c r="I9" s="216">
        <v>1</v>
      </c>
      <c r="K9" s="217" t="str">
        <f>CONCATENATE(Inputs!B7," Investment Implementation")</f>
        <v xml:space="preserve"> Investment Implementation</v>
      </c>
      <c r="L9" s="213"/>
      <c r="M9" s="213"/>
      <c r="N9" s="213"/>
      <c r="O9" s="213"/>
      <c r="P9" s="213"/>
      <c r="Q9" s="213"/>
      <c r="R9" s="213"/>
      <c r="S9" s="213"/>
      <c r="T9" s="213"/>
      <c r="U9" s="213"/>
    </row>
    <row r="10" spans="2:21" ht="44" customHeight="1">
      <c r="B10" s="356">
        <f>'Investment Proposal Inputs'!C13</f>
        <v>0</v>
      </c>
      <c r="C10" s="356"/>
      <c r="D10" s="356"/>
      <c r="E10" s="356"/>
      <c r="F10" s="356"/>
      <c r="G10" s="356"/>
      <c r="H10" s="356"/>
      <c r="I10" s="216">
        <v>1</v>
      </c>
      <c r="K10" s="213"/>
      <c r="L10" s="213"/>
      <c r="M10" s="213"/>
      <c r="N10" s="213"/>
      <c r="O10" s="213"/>
      <c r="P10" s="213"/>
      <c r="Q10" s="213"/>
      <c r="R10" s="213"/>
      <c r="S10" s="213"/>
      <c r="T10" s="213"/>
      <c r="U10" s="213"/>
    </row>
    <row r="11" spans="2:21" ht="43" customHeight="1">
      <c r="B11" s="357">
        <f>'Investment Proposal Inputs'!C16</f>
        <v>0</v>
      </c>
      <c r="C11" s="357"/>
      <c r="D11" s="357"/>
      <c r="E11" s="357"/>
      <c r="F11" s="357"/>
      <c r="G11" s="357"/>
      <c r="H11" s="357"/>
      <c r="I11" s="216">
        <v>1</v>
      </c>
      <c r="J11" s="218"/>
      <c r="K11" s="213"/>
      <c r="L11" s="213"/>
      <c r="M11" s="219" t="s">
        <v>27</v>
      </c>
      <c r="N11" s="219" t="s">
        <v>28</v>
      </c>
      <c r="O11" s="219" t="s">
        <v>29</v>
      </c>
      <c r="P11" s="219" t="s">
        <v>30</v>
      </c>
      <c r="Q11" s="219" t="s">
        <v>31</v>
      </c>
      <c r="R11" s="213"/>
      <c r="S11" s="213"/>
      <c r="T11" s="213"/>
      <c r="U11" s="213"/>
    </row>
    <row r="12" spans="2:21" ht="23" customHeight="1">
      <c r="B12" s="270"/>
      <c r="C12" s="270"/>
      <c r="D12" s="270"/>
      <c r="E12" s="270"/>
      <c r="F12" s="270"/>
      <c r="G12" s="261"/>
      <c r="H12" s="261"/>
      <c r="I12" s="216">
        <v>1</v>
      </c>
      <c r="K12" s="220" t="s">
        <v>32</v>
      </c>
      <c r="L12" s="221" t="s">
        <v>33</v>
      </c>
      <c r="M12" s="222">
        <v>0</v>
      </c>
      <c r="N12" s="222">
        <v>0</v>
      </c>
      <c r="O12" s="222"/>
      <c r="P12" s="222"/>
      <c r="Q12" s="222"/>
      <c r="R12" s="223"/>
      <c r="S12" s="223"/>
      <c r="T12" s="223"/>
      <c r="U12" s="223"/>
    </row>
    <row r="13" spans="2:21" ht="26" customHeight="1">
      <c r="B13" s="271" t="s">
        <v>32</v>
      </c>
      <c r="C13" s="272" t="s">
        <v>34</v>
      </c>
      <c r="D13" s="273" t="s">
        <v>35</v>
      </c>
      <c r="E13" s="272" t="s">
        <v>36</v>
      </c>
      <c r="F13" s="272"/>
      <c r="G13" s="265" t="s">
        <v>37</v>
      </c>
      <c r="H13" s="265" t="s">
        <v>38</v>
      </c>
      <c r="I13" s="216">
        <v>1</v>
      </c>
      <c r="K13" s="213"/>
      <c r="L13" s="213"/>
      <c r="M13" s="225"/>
      <c r="N13" s="225"/>
      <c r="O13" s="225"/>
      <c r="P13" s="225"/>
      <c r="Q13" s="225"/>
      <c r="R13" s="225"/>
      <c r="S13" s="225"/>
      <c r="T13" s="225"/>
      <c r="U13" s="213"/>
    </row>
    <row r="14" spans="2:21" ht="26" customHeight="1">
      <c r="B14" s="270"/>
      <c r="C14" s="274"/>
      <c r="D14" s="275"/>
      <c r="E14" s="270"/>
      <c r="F14" s="270"/>
      <c r="G14" s="261"/>
      <c r="H14" s="261"/>
      <c r="I14" s="216">
        <v>1</v>
      </c>
      <c r="K14" s="213"/>
      <c r="L14" s="213"/>
      <c r="M14" s="225"/>
      <c r="N14" s="225"/>
      <c r="O14" s="225"/>
      <c r="P14" s="225"/>
      <c r="Q14" s="225"/>
      <c r="R14" s="225"/>
      <c r="S14" s="225"/>
      <c r="T14" s="225"/>
      <c r="U14" s="213"/>
    </row>
    <row r="15" spans="2:21" ht="26" customHeight="1">
      <c r="B15" s="271" t="s">
        <v>39</v>
      </c>
      <c r="C15" s="274"/>
      <c r="D15" s="275"/>
      <c r="E15" s="270"/>
      <c r="F15" s="270"/>
      <c r="G15" s="261"/>
      <c r="H15" s="261"/>
      <c r="I15" s="226">
        <f>IF(SUM(I16:I37) = 0, 0, 1)</f>
        <v>0</v>
      </c>
      <c r="J15" s="218"/>
      <c r="K15" s="213" t="str">
        <f t="shared" ref="K15:K78" si="0">IF(B15="Total","",IF(B15="","",B15))</f>
        <v>REAL ESTATE</v>
      </c>
      <c r="L15" s="213"/>
      <c r="M15" s="225"/>
      <c r="N15" s="225"/>
      <c r="O15" s="225"/>
      <c r="P15" s="225"/>
      <c r="Q15" s="225"/>
      <c r="R15" s="225"/>
      <c r="S15" s="225"/>
      <c r="T15" s="225"/>
      <c r="U15" s="213"/>
    </row>
    <row r="16" spans="2:21" ht="26" customHeight="1">
      <c r="B16" s="270" t="s">
        <v>320</v>
      </c>
      <c r="C16" s="274" t="str">
        <f>IFERROR(IF(_xlfn.XLOOKUP(B16, Table33[Investment Name], Table33[Override Investment Amount]) = 0, IF(_xlfn.XLOOKUP('Investment Proposal'!B16, Table33[Investment Name], Table33[Sum]) = 0, "", _xlfn.XLOOKUP('Investment Proposal'!B16, Table33[Investment Name], Table33[Sum])), _xlfn.XLOOKUP('Investment Proposal'!B16, Table33[Investment Name], Table33[Override Investment Amount])), "")</f>
        <v/>
      </c>
      <c r="D16" s="275">
        <f>IFERROR(_xlfn.XLOOKUP(B16, 'Asset Class Tables and Dropdown'!$A$3:$A$1001, 'Asset Class Tables and Dropdown'!$C$3:$C$1001),"")</f>
        <v>5.5800000000000002E-2</v>
      </c>
      <c r="E16" s="276" t="str">
        <f>IFERROR(IF(C16*D16&gt;0,C16*D16,""),"")</f>
        <v/>
      </c>
      <c r="F16" s="276"/>
      <c r="G16" s="261" t="str">
        <f>IFERROR(IF(_xlfn.XLOOKUP(B16, 'Asset Class Tables and Dropdown'!$A$3:$A$1001, 'Asset Class Tables and Dropdown'!$D$3:$D$1001)=0, "", _xlfn.XLOOKUP(B16, 'Asset Class Tables and Dropdown'!$A$3:$A$1001, 'Asset Class Tables and Dropdown'!$D$3:$D$1001)), "")</f>
        <v>Low/Mid</v>
      </c>
      <c r="H16" s="261" t="str">
        <f>IFERROR(IF(_xlfn.XLOOKUP(B16, 'Asset Class Tables and Dropdown'!$A$3:$A$1001, 'Asset Class Tables and Dropdown'!$E$3:$E$1001)=0, "", _xlfn.XLOOKUP(B16, 'Asset Class Tables and Dropdown'!$A$3:$A$1001, 'Asset Class Tables and Dropdown'!$E$3:$E$1001)),"")</f>
        <v>Moderate</v>
      </c>
      <c r="I16" s="227">
        <f>IF(C16="", 0, 1)</f>
        <v>0</v>
      </c>
      <c r="J16" s="218"/>
      <c r="K16" s="213" t="str">
        <f t="shared" si="0"/>
        <v>Apollo Diversified Real Estate Fund Fund</v>
      </c>
      <c r="L16" s="213"/>
      <c r="M16" s="225"/>
      <c r="N16" s="225"/>
      <c r="O16" s="225"/>
      <c r="P16" s="225"/>
      <c r="Q16" s="225"/>
      <c r="R16" s="225"/>
      <c r="S16" s="225"/>
      <c r="T16" s="225"/>
      <c r="U16" s="213"/>
    </row>
    <row r="17" spans="2:21" ht="26" customHeight="1">
      <c r="B17" s="270" t="s">
        <v>326</v>
      </c>
      <c r="C17" s="274" t="str">
        <f>IFERROR(IF(_xlfn.XLOOKUP(B17, Table33[Investment Name], Table33[Override Investment Amount]) = 0, IF(_xlfn.XLOOKUP('Investment Proposal'!B17, Table33[Investment Name], Table33[Sum]) = 0, "", _xlfn.XLOOKUP('Investment Proposal'!B17, Table33[Investment Name], Table33[Sum])), _xlfn.XLOOKUP('Investment Proposal'!B17, Table33[Investment Name], Table33[Override Investment Amount])), "")</f>
        <v/>
      </c>
      <c r="D17" s="275">
        <f>IFERROR(_xlfn.XLOOKUP(B17, 'Asset Class Tables and Dropdown'!$A$3:$A$1001, 'Asset Class Tables and Dropdown'!$C$3:$C$1001),"")</f>
        <v>4.4999999999999998E-2</v>
      </c>
      <c r="E17" s="276" t="str">
        <f t="shared" ref="E17:E22" si="1">IFERROR(IF(C17*D17&gt;0,C17*D17,""),"")</f>
        <v/>
      </c>
      <c r="F17" s="276"/>
      <c r="G17" s="261" t="str">
        <f>IFERROR(IF(_xlfn.XLOOKUP(B17, 'Asset Class Tables and Dropdown'!$A$3:$A$1001, 'Asset Class Tables and Dropdown'!$D$3:$D$1001)=0, "", _xlfn.XLOOKUP(B17, 'Asset Class Tables and Dropdown'!$A$3:$A$1001, 'Asset Class Tables and Dropdown'!$D$3:$D$1001)), "")</f>
        <v>Low/Mid</v>
      </c>
      <c r="H17" s="261" t="str">
        <f>IFERROR(IF(_xlfn.XLOOKUP(B17, 'Asset Class Tables and Dropdown'!$A$3:$A$1001, 'Asset Class Tables and Dropdown'!$E$3:$E$1001)=0, "", _xlfn.XLOOKUP(B17, 'Asset Class Tables and Dropdown'!$A$3:$A$1001, 'Asset Class Tables and Dropdown'!$E$3:$E$1001)),"")</f>
        <v>Moderate</v>
      </c>
      <c r="I17" s="227">
        <f t="shared" ref="I17:I37" si="2">IF(C17="", 0, 1)</f>
        <v>0</v>
      </c>
      <c r="J17" s="218"/>
      <c r="K17" s="213" t="str">
        <f t="shared" si="0"/>
        <v>Blackstone BREIT</v>
      </c>
      <c r="L17" s="213"/>
      <c r="M17" s="225"/>
      <c r="N17" s="225"/>
      <c r="O17" s="225"/>
      <c r="P17" s="225"/>
      <c r="Q17" s="225"/>
      <c r="R17" s="225"/>
      <c r="S17" s="225"/>
      <c r="T17" s="225"/>
      <c r="U17" s="213"/>
    </row>
    <row r="18" spans="2:21" ht="26" hidden="1" customHeight="1">
      <c r="B18" s="270" t="s">
        <v>335</v>
      </c>
      <c r="C18" s="274" t="str">
        <f>IFERROR(IF(_xlfn.XLOOKUP(B18, Table33[Investment Name], Table33[Override Investment Amount]) = 0, IF(_xlfn.XLOOKUP('Investment Proposal'!B18, Table33[Investment Name], Table33[Sum]) = 0, "", _xlfn.XLOOKUP('Investment Proposal'!B18, Table33[Investment Name], Table33[Sum])), _xlfn.XLOOKUP('Investment Proposal'!B18, Table33[Investment Name], Table33[Override Investment Amount])), "")</f>
        <v/>
      </c>
      <c r="D18" s="275">
        <f>IFERROR(_xlfn.XLOOKUP(B18, 'Asset Class Tables and Dropdown'!$A$3:$A$1001, 'Asset Class Tables and Dropdown'!$C$3:$C$1001),"")</f>
        <v>5.2499999999999998E-2</v>
      </c>
      <c r="E18" s="276" t="str">
        <f t="shared" si="1"/>
        <v/>
      </c>
      <c r="F18" s="276"/>
      <c r="G18" s="261" t="str">
        <f>IFERROR(IF(_xlfn.XLOOKUP(B18, 'Asset Class Tables and Dropdown'!$A$3:$A$1001, 'Asset Class Tables and Dropdown'!$D$3:$D$1001)=0, "", _xlfn.XLOOKUP(B18, 'Asset Class Tables and Dropdown'!$A$3:$A$1001, 'Asset Class Tables and Dropdown'!$D$3:$D$1001)), "")</f>
        <v>Low/Mid</v>
      </c>
      <c r="H18" s="261" t="str">
        <f>IFERROR(IF(_xlfn.XLOOKUP(B18, 'Asset Class Tables and Dropdown'!$A$3:$A$1001, 'Asset Class Tables and Dropdown'!$E$3:$E$1001)=0, "", _xlfn.XLOOKUP(B18, 'Asset Class Tables and Dropdown'!$A$3:$A$1001, 'Asset Class Tables and Dropdown'!$E$3:$E$1001)),"")</f>
        <v>Conservative/Moderate</v>
      </c>
      <c r="I18" s="227">
        <f t="shared" si="2"/>
        <v>0</v>
      </c>
      <c r="J18" s="218"/>
      <c r="K18" s="213" t="str">
        <f t="shared" si="0"/>
        <v>Bluerock Interval Fund</v>
      </c>
      <c r="L18" s="213"/>
      <c r="M18" s="225"/>
      <c r="N18" s="225"/>
      <c r="O18" s="225"/>
      <c r="P18" s="225"/>
      <c r="Q18" s="225"/>
      <c r="R18" s="225"/>
      <c r="S18" s="225"/>
      <c r="T18" s="225"/>
      <c r="U18" s="213"/>
    </row>
    <row r="19" spans="2:21" ht="26" hidden="1" customHeight="1">
      <c r="B19" s="270" t="s">
        <v>351</v>
      </c>
      <c r="C19" s="274" t="str">
        <f>IFERROR(IF(_xlfn.XLOOKUP(B19, Table33[Investment Name], Table33[Override Investment Amount]) = 0, IF(_xlfn.XLOOKUP('Investment Proposal'!B19, Table33[Investment Name], Table33[Sum]) = 0, "", _xlfn.XLOOKUP('Investment Proposal'!B19, Table33[Investment Name], Table33[Sum])), _xlfn.XLOOKUP('Investment Proposal'!B19, Table33[Investment Name], Table33[Override Investment Amount])), "")</f>
        <v/>
      </c>
      <c r="D19" s="275">
        <f>IFERROR(_xlfn.XLOOKUP(B19, 'Asset Class Tables and Dropdown'!$A$3:$A$1001, 'Asset Class Tables and Dropdown'!$C$3:$C$1001),"")</f>
        <v>7.0000000000000007E-2</v>
      </c>
      <c r="E19" s="276" t="str">
        <f t="shared" si="1"/>
        <v/>
      </c>
      <c r="F19" s="276"/>
      <c r="G19" s="261" t="str">
        <f>IFERROR(IF(_xlfn.XLOOKUP(B19, 'Asset Class Tables and Dropdown'!$A$3:$A$1001, 'Asset Class Tables and Dropdown'!$D$3:$D$1001)=0, "", _xlfn.XLOOKUP(B19, 'Asset Class Tables and Dropdown'!$A$3:$A$1001, 'Asset Class Tables and Dropdown'!$D$3:$D$1001)), "")</f>
        <v>High</v>
      </c>
      <c r="H19" s="261" t="str">
        <f>IFERROR(IF(_xlfn.XLOOKUP(B19, 'Asset Class Tables and Dropdown'!$A$3:$A$1001, 'Asset Class Tables and Dropdown'!$E$3:$E$1001)=0, "", _xlfn.XLOOKUP(B19, 'Asset Class Tables and Dropdown'!$A$3:$A$1001, 'Asset Class Tables and Dropdown'!$E$3:$E$1001)),"")</f>
        <v>Moderate/Aggressive</v>
      </c>
      <c r="I19" s="227">
        <f t="shared" si="2"/>
        <v>0</v>
      </c>
      <c r="J19" s="218"/>
      <c r="K19" s="213" t="str">
        <f t="shared" si="0"/>
        <v>Easterly Funds Global Real Estate Fund</v>
      </c>
      <c r="L19" s="213"/>
      <c r="M19" s="225"/>
      <c r="N19" s="225"/>
      <c r="O19" s="225"/>
      <c r="P19" s="225"/>
      <c r="Q19" s="225"/>
      <c r="R19" s="225"/>
      <c r="S19" s="225"/>
      <c r="T19" s="225"/>
      <c r="U19" s="213"/>
    </row>
    <row r="20" spans="2:21" ht="26" hidden="1" customHeight="1">
      <c r="B20" s="270" t="s">
        <v>362</v>
      </c>
      <c r="C20" s="274" t="str">
        <f>IFERROR(IF(_xlfn.XLOOKUP(B20, Table33[Investment Name], Table33[Override Investment Amount]) = 0, IF(_xlfn.XLOOKUP('Investment Proposal'!B20, Table33[Investment Name], Table33[Sum]) = 0, "", _xlfn.XLOOKUP('Investment Proposal'!B20, Table33[Investment Name], Table33[Sum])), _xlfn.XLOOKUP('Investment Proposal'!B20, Table33[Investment Name], Table33[Override Investment Amount])), "")</f>
        <v/>
      </c>
      <c r="D20" s="275">
        <f>IFERROR(_xlfn.XLOOKUP(B20, 'Asset Class Tables and Dropdown'!$A$3:$A$1001, 'Asset Class Tables and Dropdown'!$C$3:$C$1001),"")</f>
        <v>5.7700000000000001E-2</v>
      </c>
      <c r="E20" s="276" t="str">
        <f t="shared" si="1"/>
        <v/>
      </c>
      <c r="F20" s="276"/>
      <c r="G20" s="261" t="str">
        <f>IFERROR(IF(_xlfn.XLOOKUP(B20, 'Asset Class Tables and Dropdown'!$A$3:$A$1001, 'Asset Class Tables and Dropdown'!$D$3:$D$1001)=0, "", _xlfn.XLOOKUP(B20, 'Asset Class Tables and Dropdown'!$A$3:$A$1001, 'Asset Class Tables and Dropdown'!$D$3:$D$1001)), "")</f>
        <v>Low/Mid</v>
      </c>
      <c r="H20" s="261" t="str">
        <f>IFERROR(IF(_xlfn.XLOOKUP(B20, 'Asset Class Tables and Dropdown'!$A$3:$A$1001, 'Asset Class Tables and Dropdown'!$E$3:$E$1001)=0, "", _xlfn.XLOOKUP(B20, 'Asset Class Tables and Dropdown'!$A$3:$A$1001, 'Asset Class Tables and Dropdown'!$E$3:$E$1001)),"")</f>
        <v>Moderate</v>
      </c>
      <c r="I20" s="227">
        <f t="shared" si="2"/>
        <v>0</v>
      </c>
      <c r="J20" s="218"/>
      <c r="K20" s="213" t="str">
        <f t="shared" si="0"/>
        <v>Hines Global Income Trust</v>
      </c>
      <c r="L20" s="213"/>
      <c r="M20" s="225"/>
      <c r="N20" s="225"/>
      <c r="O20" s="225"/>
      <c r="P20" s="225"/>
      <c r="Q20" s="225"/>
      <c r="R20" s="225"/>
      <c r="S20" s="225"/>
      <c r="T20" s="225"/>
      <c r="U20" s="213"/>
    </row>
    <row r="21" spans="2:21" ht="26" hidden="1" customHeight="1">
      <c r="B21" s="270" t="s">
        <v>423</v>
      </c>
      <c r="C21" s="274" t="str">
        <f>IFERROR(IF(_xlfn.XLOOKUP(B21, Table33[Investment Name], Table33[Override Investment Amount]) = 0, IF(_xlfn.XLOOKUP('Investment Proposal'!B21, Table33[Investment Name], Table33[Sum]) = 0, "", _xlfn.XLOOKUP('Investment Proposal'!B21, Table33[Investment Name], Table33[Sum])), _xlfn.XLOOKUP('Investment Proposal'!B21, Table33[Investment Name], Table33[Override Investment Amount])), "")</f>
        <v/>
      </c>
      <c r="D21" s="275">
        <f>IFERROR(_xlfn.XLOOKUP(B21, 'Asset Class Tables and Dropdown'!$A$3:$A$1001, 'Asset Class Tables and Dropdown'!$C$3:$C$1001),"")</f>
        <v>5.67E-2</v>
      </c>
      <c r="E21" s="276" t="str">
        <f t="shared" si="1"/>
        <v/>
      </c>
      <c r="F21" s="276"/>
      <c r="G21" s="261" t="str">
        <f>IFERROR(IF(_xlfn.XLOOKUP(B21, 'Asset Class Tables and Dropdown'!$A$3:$A$1001, 'Asset Class Tables and Dropdown'!$D$3:$D$1001)=0, "", _xlfn.XLOOKUP(B21, 'Asset Class Tables and Dropdown'!$A$3:$A$1001, 'Asset Class Tables and Dropdown'!$D$3:$D$1001)), "")</f>
        <v>Low</v>
      </c>
      <c r="H21" s="261" t="str">
        <f>IFERROR(IF(_xlfn.XLOOKUP(B21, 'Asset Class Tables and Dropdown'!$A$3:$A$1001, 'Asset Class Tables and Dropdown'!$E$3:$E$1001)=0, "", _xlfn.XLOOKUP(B21, 'Asset Class Tables and Dropdown'!$A$3:$A$1001, 'Asset Class Tables and Dropdown'!$E$3:$E$1001)),"")</f>
        <v>Moderate</v>
      </c>
      <c r="I21" s="227">
        <f t="shared" si="2"/>
        <v>0</v>
      </c>
      <c r="J21" s="218"/>
      <c r="K21" s="213" t="str">
        <f t="shared" si="0"/>
        <v>Industrial Property Trust</v>
      </c>
      <c r="L21" s="213"/>
      <c r="M21" s="225"/>
      <c r="N21" s="225"/>
      <c r="O21" s="225"/>
      <c r="P21" s="225"/>
      <c r="Q21" s="225"/>
      <c r="R21" s="225"/>
      <c r="S21" s="225"/>
      <c r="T21" s="225"/>
      <c r="U21" s="213"/>
    </row>
    <row r="22" spans="2:21" ht="26" hidden="1" customHeight="1">
      <c r="B22" s="270" t="s">
        <v>387</v>
      </c>
      <c r="C22" s="274" t="str">
        <f>IFERROR(IF(_xlfn.XLOOKUP(B22, Table33[Investment Name], Table33[Override Investment Amount]) = 0, IF(_xlfn.XLOOKUP('Investment Proposal'!B22, Table33[Investment Name], Table33[Sum]) = 0, "", _xlfn.XLOOKUP('Investment Proposal'!B22, Table33[Investment Name], Table33[Sum])), _xlfn.XLOOKUP('Investment Proposal'!B22, Table33[Investment Name], Table33[Override Investment Amount])), "")</f>
        <v/>
      </c>
      <c r="D22" s="275">
        <f>IFERROR(_xlfn.XLOOKUP(B22, 'Asset Class Tables and Dropdown'!$A$3:$A$1001, 'Asset Class Tables and Dropdown'!$C$3:$C$1001),"")</f>
        <v>5.2299999999999999E-2</v>
      </c>
      <c r="E22" s="276" t="str">
        <f t="shared" si="1"/>
        <v/>
      </c>
      <c r="F22" s="276"/>
      <c r="G22" s="261" t="str">
        <f>IFERROR(IF(_xlfn.XLOOKUP(B22, 'Asset Class Tables and Dropdown'!$A$3:$A$1001, 'Asset Class Tables and Dropdown'!$D$3:$D$1001)=0, "", _xlfn.XLOOKUP(B22, 'Asset Class Tables and Dropdown'!$A$3:$A$1001, 'Asset Class Tables and Dropdown'!$D$3:$D$1001)), "")</f>
        <v>Low/Mid</v>
      </c>
      <c r="H22" s="261" t="str">
        <f>IFERROR(IF(_xlfn.XLOOKUP(B22, 'Asset Class Tables and Dropdown'!$A$3:$A$1001, 'Asset Class Tables and Dropdown'!$E$3:$E$1001)=0, "", _xlfn.XLOOKUP(B22, 'Asset Class Tables and Dropdown'!$A$3:$A$1001, 'Asset Class Tables and Dropdown'!$E$3:$E$1001)),"")</f>
        <v>Moderate</v>
      </c>
      <c r="I22" s="227">
        <f t="shared" si="2"/>
        <v>0</v>
      </c>
      <c r="J22" s="218"/>
      <c r="K22" s="213" t="str">
        <f t="shared" si="0"/>
        <v>Nuveen Global Cities REIT</v>
      </c>
      <c r="L22" s="213"/>
      <c r="M22" s="225"/>
      <c r="N22" s="225"/>
      <c r="O22" s="225"/>
      <c r="P22" s="225"/>
      <c r="Q22" s="225"/>
      <c r="R22" s="225"/>
      <c r="S22" s="225"/>
      <c r="T22" s="225"/>
      <c r="U22" s="213"/>
    </row>
    <row r="23" spans="2:21" ht="26" hidden="1" customHeight="1">
      <c r="B23" s="270" t="s">
        <v>425</v>
      </c>
      <c r="C23" s="274" t="str">
        <f>IFERROR(IF(_xlfn.XLOOKUP(B23, Table33[Investment Name], Table33[Override Investment Amount]) = 0, IF(_xlfn.XLOOKUP('Investment Proposal'!B23, Table33[Investment Name], Table33[Sum]) = 0, "", _xlfn.XLOOKUP('Investment Proposal'!B23, Table33[Investment Name], Table33[Sum])), _xlfn.XLOOKUP('Investment Proposal'!B23, Table33[Investment Name], Table33[Override Investment Amount])), "")</f>
        <v/>
      </c>
      <c r="D23" s="275">
        <f>IFERROR(_xlfn.XLOOKUP(B23, 'Asset Class Tables and Dropdown'!$A$3:$A$1001, 'Asset Class Tables and Dropdown'!$C$3:$C$1001),"")</f>
        <v>0.05</v>
      </c>
      <c r="E23" s="276" t="str">
        <f t="shared" ref="E23:E37" si="3">IFERROR(IF(C23*D23&gt;0,C23*D23,""),"")</f>
        <v/>
      </c>
      <c r="F23" s="276"/>
      <c r="G23" s="261" t="str">
        <f>IFERROR(IF(_xlfn.XLOOKUP(B23, 'Asset Class Tables and Dropdown'!$A$3:$A$1001, 'Asset Class Tables and Dropdown'!$D$3:$D$1001)=0, "", _xlfn.XLOOKUP(B23, 'Asset Class Tables and Dropdown'!$A$3:$A$1001, 'Asset Class Tables and Dropdown'!$D$3:$D$1001)), "")</f>
        <v>Low</v>
      </c>
      <c r="H23" s="261" t="str">
        <f>IFERROR(IF(_xlfn.XLOOKUP(B23, 'Asset Class Tables and Dropdown'!$A$3:$A$1001, 'Asset Class Tables and Dropdown'!$E$3:$E$1001)=0, "", _xlfn.XLOOKUP(B23, 'Asset Class Tables and Dropdown'!$A$3:$A$1001, 'Asset Class Tables and Dropdown'!$E$3:$E$1001)),"")</f>
        <v>Aggressive</v>
      </c>
      <c r="I23" s="227">
        <f t="shared" si="2"/>
        <v>0</v>
      </c>
      <c r="J23" s="218"/>
      <c r="K23" s="213" t="str">
        <f t="shared" si="0"/>
        <v>Sealy Industrial Partners</v>
      </c>
      <c r="L23" s="213"/>
      <c r="M23" s="225"/>
      <c r="N23" s="225"/>
      <c r="O23" s="225"/>
      <c r="P23" s="225"/>
      <c r="Q23" s="225"/>
      <c r="R23" s="225"/>
      <c r="S23" s="225"/>
      <c r="T23" s="225"/>
      <c r="U23" s="213"/>
    </row>
    <row r="24" spans="2:21" ht="26" hidden="1" customHeight="1">
      <c r="B24" s="270" t="s">
        <v>427</v>
      </c>
      <c r="C24" s="274" t="str">
        <f>IFERROR(IF(_xlfn.XLOOKUP(B24, Table33[Investment Name], Table33[Override Investment Amount]) = 0, IF(_xlfn.XLOOKUP('Investment Proposal'!B24, Table33[Investment Name], Table33[Sum]) = 0, "", _xlfn.XLOOKUP('Investment Proposal'!B24, Table33[Investment Name], Table33[Sum])), _xlfn.XLOOKUP('Investment Proposal'!B24, Table33[Investment Name], Table33[Override Investment Amount])), "")</f>
        <v/>
      </c>
      <c r="D24" s="275">
        <f>IFERROR(_xlfn.XLOOKUP(B24, 'Asset Class Tables and Dropdown'!$A$3:$A$1001, 'Asset Class Tables and Dropdown'!$C$3:$C$1001),"")</f>
        <v>3.5000000000000003E-2</v>
      </c>
      <c r="E24" s="276" t="str">
        <f t="shared" si="3"/>
        <v/>
      </c>
      <c r="F24" s="276"/>
      <c r="G24" s="261" t="str">
        <f>IFERROR(IF(_xlfn.XLOOKUP(B24, 'Asset Class Tables and Dropdown'!$A$3:$A$1001, 'Asset Class Tables and Dropdown'!$D$3:$D$1001)=0, "", _xlfn.XLOOKUP(B24, 'Asset Class Tables and Dropdown'!$A$3:$A$1001, 'Asset Class Tables and Dropdown'!$D$3:$D$1001)), "")</f>
        <v>Low</v>
      </c>
      <c r="H24" s="261" t="str">
        <f>IFERROR(IF(_xlfn.XLOOKUP(B24, 'Asset Class Tables and Dropdown'!$A$3:$A$1001, 'Asset Class Tables and Dropdown'!$E$3:$E$1001)=0, "", _xlfn.XLOOKUP(B24, 'Asset Class Tables and Dropdown'!$A$3:$A$1001, 'Asset Class Tables and Dropdown'!$E$3:$E$1001)),"")</f>
        <v>Moderate/Aggressive</v>
      </c>
      <c r="I24" s="227">
        <f t="shared" si="2"/>
        <v>0</v>
      </c>
      <c r="J24" s="218"/>
      <c r="K24" s="213" t="str">
        <f t="shared" si="0"/>
        <v>Strategic Storage Growth Trust II</v>
      </c>
      <c r="L24" s="213"/>
      <c r="M24" s="225"/>
      <c r="N24" s="225"/>
      <c r="O24" s="225"/>
      <c r="P24" s="225"/>
      <c r="Q24" s="225"/>
      <c r="R24" s="225"/>
      <c r="S24" s="225"/>
      <c r="T24" s="225"/>
      <c r="U24" s="213"/>
    </row>
    <row r="25" spans="2:21" ht="26" hidden="1" customHeight="1">
      <c r="B25" s="270" t="s">
        <v>428</v>
      </c>
      <c r="C25" s="274" t="str">
        <f>IFERROR(IF(_xlfn.XLOOKUP(B25, Table33[Investment Name], Table33[Override Investment Amount]) = 0, IF(_xlfn.XLOOKUP('Investment Proposal'!B25, Table33[Investment Name], Table33[Sum]) = 0, "", _xlfn.XLOOKUP('Investment Proposal'!B25, Table33[Investment Name], Table33[Sum])), _xlfn.XLOOKUP('Investment Proposal'!B25, Table33[Investment Name], Table33[Override Investment Amount])), "")</f>
        <v/>
      </c>
      <c r="D25" s="275">
        <f>IFERROR(_xlfn.XLOOKUP(B25, 'Asset Class Tables and Dropdown'!$A$3:$A$1001, 'Asset Class Tables and Dropdown'!$C$3:$C$1001),"")</f>
        <v>6.4000000000000001E-2</v>
      </c>
      <c r="E25" s="276" t="str">
        <f t="shared" si="3"/>
        <v/>
      </c>
      <c r="F25" s="276"/>
      <c r="G25" s="261" t="str">
        <f>IFERROR(IF(_xlfn.XLOOKUP(B25, 'Asset Class Tables and Dropdown'!$A$3:$A$1001, 'Asset Class Tables and Dropdown'!$D$3:$D$1001)=0, "", _xlfn.XLOOKUP(B25, 'Asset Class Tables and Dropdown'!$A$3:$A$1001, 'Asset Class Tables and Dropdown'!$D$3:$D$1001)), "")</f>
        <v>Low</v>
      </c>
      <c r="H25" s="261" t="str">
        <f>IFERROR(IF(_xlfn.XLOOKUP(B25, 'Asset Class Tables and Dropdown'!$A$3:$A$1001, 'Asset Class Tables and Dropdown'!$E$3:$E$1001)=0, "", _xlfn.XLOOKUP(B25, 'Asset Class Tables and Dropdown'!$A$3:$A$1001, 'Asset Class Tables and Dropdown'!$E$3:$E$1001)),"")</f>
        <v>Moderate</v>
      </c>
      <c r="I25" s="227">
        <f t="shared" si="2"/>
        <v>0</v>
      </c>
      <c r="J25" s="218"/>
      <c r="K25" s="213" t="str">
        <f t="shared" si="0"/>
        <v>Strategic Storage Trust IV</v>
      </c>
      <c r="L25" s="213"/>
      <c r="M25" s="225"/>
      <c r="N25" s="225"/>
      <c r="O25" s="225"/>
      <c r="P25" s="225"/>
      <c r="Q25" s="225"/>
      <c r="R25" s="225"/>
      <c r="S25" s="225"/>
      <c r="T25" s="225"/>
      <c r="U25" s="213"/>
    </row>
    <row r="26" spans="2:21" ht="26" hidden="1" customHeight="1">
      <c r="B26" s="270" t="s">
        <v>408</v>
      </c>
      <c r="C26" s="274" t="str">
        <f>IFERROR(IF(_xlfn.XLOOKUP(B26, Table33[Investment Name], Table33[Override Investment Amount]) = 0, IF(_xlfn.XLOOKUP('Investment Proposal'!B26, Table33[Investment Name], Table33[Sum]) = 0, "", _xlfn.XLOOKUP('Investment Proposal'!B26, Table33[Investment Name], Table33[Sum])), _xlfn.XLOOKUP('Investment Proposal'!B26, Table33[Investment Name], Table33[Override Investment Amount])), "")</f>
        <v/>
      </c>
      <c r="D26" s="275">
        <f>IFERROR(_xlfn.XLOOKUP(B26, 'Asset Class Tables and Dropdown'!$A$3:$A$1001, 'Asset Class Tables and Dropdown'!$C$3:$C$1001),"")</f>
        <v>4.82E-2</v>
      </c>
      <c r="E26" s="276" t="str">
        <f t="shared" si="3"/>
        <v/>
      </c>
      <c r="F26" s="276"/>
      <c r="G26" s="261" t="str">
        <f>IFERROR(IF(_xlfn.XLOOKUP(B26, 'Asset Class Tables and Dropdown'!$A$3:$A$1001, 'Asset Class Tables and Dropdown'!$D$3:$D$1001)=0, "", _xlfn.XLOOKUP(B26, 'Asset Class Tables and Dropdown'!$A$3:$A$1001, 'Asset Class Tables and Dropdown'!$D$3:$D$1001)), "")</f>
        <v>Low/Mid</v>
      </c>
      <c r="H26" s="261" t="str">
        <f>IFERROR(IF(_xlfn.XLOOKUP(B26, 'Asset Class Tables and Dropdown'!$A$3:$A$1001, 'Asset Class Tables and Dropdown'!$E$3:$E$1001)=0, "", _xlfn.XLOOKUP(B26, 'Asset Class Tables and Dropdown'!$A$3:$A$1001, 'Asset Class Tables and Dropdown'!$E$3:$E$1001)),"")</f>
        <v>Moderate</v>
      </c>
      <c r="I26" s="227">
        <f t="shared" si="2"/>
        <v>0</v>
      </c>
      <c r="J26" s="218"/>
      <c r="K26" s="213" t="str">
        <f t="shared" si="0"/>
        <v>Starwood SREIT</v>
      </c>
      <c r="L26" s="213"/>
      <c r="M26" s="225"/>
      <c r="N26" s="225"/>
      <c r="O26" s="225"/>
      <c r="P26" s="225"/>
      <c r="Q26" s="225"/>
      <c r="R26" s="225"/>
      <c r="S26" s="225"/>
      <c r="T26" s="225"/>
      <c r="U26" s="213"/>
    </row>
    <row r="27" spans="2:21" ht="26" hidden="1" customHeight="1">
      <c r="B27" s="270" t="s">
        <v>204</v>
      </c>
      <c r="C27" s="274" t="str">
        <f>IFERROR(IF(_xlfn.XLOOKUP(B27, Table33[Investment Name], Table33[Override Investment Amount]) = 0, IF(_xlfn.XLOOKUP('Investment Proposal'!B27, Table33[Investment Name], Table33[Sum]) = 0, "", _xlfn.XLOOKUP('Investment Proposal'!B27, Table33[Investment Name], Table33[Sum])), _xlfn.XLOOKUP('Investment Proposal'!B27, Table33[Investment Name], Table33[Override Investment Amount])), "")</f>
        <v/>
      </c>
      <c r="D27" s="275">
        <f>IFERROR(_xlfn.XLOOKUP(B27, 'Asset Class Tables and Dropdown'!$A$3:$A$1001, 'Asset Class Tables and Dropdown'!$C$3:$C$1001),"")</f>
        <v>0</v>
      </c>
      <c r="E27" s="276" t="str">
        <f t="shared" si="3"/>
        <v/>
      </c>
      <c r="F27" s="276"/>
      <c r="G27" s="261" t="str">
        <f>IFERROR(IF(_xlfn.XLOOKUP(B27, 'Asset Class Tables and Dropdown'!$A$3:$A$1001, 'Asset Class Tables and Dropdown'!$D$3:$D$1001)=0, "", _xlfn.XLOOKUP(B27, 'Asset Class Tables and Dropdown'!$A$3:$A$1001, 'Asset Class Tables and Dropdown'!$D$3:$D$1001)), "")</f>
        <v/>
      </c>
      <c r="H27" s="261" t="str">
        <f>IFERROR(IF(_xlfn.XLOOKUP(B27, 'Asset Class Tables and Dropdown'!$A$3:$A$1001, 'Asset Class Tables and Dropdown'!$E$3:$E$1001)=0, "", _xlfn.XLOOKUP(B27, 'Asset Class Tables and Dropdown'!$A$3:$A$1001, 'Asset Class Tables and Dropdown'!$E$3:$E$1001)),"")</f>
        <v/>
      </c>
      <c r="I27" s="227">
        <f t="shared" si="2"/>
        <v>0</v>
      </c>
      <c r="J27" s="218"/>
      <c r="K27" s="213" t="str">
        <f t="shared" si="0"/>
        <v>Private Real Estate Opportunity</v>
      </c>
      <c r="L27" s="213"/>
      <c r="M27" s="225"/>
      <c r="N27" s="225"/>
      <c r="O27" s="225"/>
      <c r="P27" s="225"/>
      <c r="Q27" s="225"/>
      <c r="R27" s="225"/>
      <c r="S27" s="225"/>
      <c r="T27" s="225"/>
      <c r="U27" s="213"/>
    </row>
    <row r="28" spans="2:21" ht="26" hidden="1" customHeight="1">
      <c r="B28" s="270"/>
      <c r="C28" s="274" t="str">
        <f>IFERROR(IF(_xlfn.XLOOKUP(B28, Table33[Investment Name], Table33[Override Investment Amount]) = 0, IF(_xlfn.XLOOKUP('Investment Proposal'!B28, Table33[Investment Name], Table33[Sum]) = 0, "", _xlfn.XLOOKUP('Investment Proposal'!B28, Table33[Investment Name], Table33[Sum])), _xlfn.XLOOKUP('Investment Proposal'!B28, Table33[Investment Name], Table33[Override Investment Amount])), "")</f>
        <v/>
      </c>
      <c r="D28" s="275">
        <f>IFERROR(_xlfn.XLOOKUP(B28, 'Asset Class Tables and Dropdown'!$A$3:$A$1001, 'Asset Class Tables and Dropdown'!$C$3:$C$1001),"")</f>
        <v>0</v>
      </c>
      <c r="E28" s="276" t="str">
        <f t="shared" si="3"/>
        <v/>
      </c>
      <c r="F28" s="276"/>
      <c r="G28" s="261" t="str">
        <f>IFERROR(IF(_xlfn.XLOOKUP(B28, 'Asset Class Tables and Dropdown'!$A$3:$A$1001, 'Asset Class Tables and Dropdown'!$D$3:$D$1001)=0, "", _xlfn.XLOOKUP(B28, 'Asset Class Tables and Dropdown'!$A$3:$A$1001, 'Asset Class Tables and Dropdown'!$D$3:$D$1001)), "")</f>
        <v/>
      </c>
      <c r="H28" s="261" t="str">
        <f>IFERROR(IF(_xlfn.XLOOKUP(B28, 'Asset Class Tables and Dropdown'!$A$3:$A$1001, 'Asset Class Tables and Dropdown'!$E$3:$E$1001)=0, "", _xlfn.XLOOKUP(B28, 'Asset Class Tables and Dropdown'!$A$3:$A$1001, 'Asset Class Tables and Dropdown'!$E$3:$E$1001)),"")</f>
        <v/>
      </c>
      <c r="I28" s="227">
        <f t="shared" si="2"/>
        <v>0</v>
      </c>
      <c r="K28" s="213" t="str">
        <f t="shared" si="0"/>
        <v/>
      </c>
      <c r="L28" s="213"/>
      <c r="M28" s="225"/>
      <c r="N28" s="225"/>
      <c r="O28" s="225"/>
      <c r="P28" s="225"/>
      <c r="Q28" s="225"/>
      <c r="R28" s="225"/>
      <c r="S28" s="225"/>
      <c r="T28" s="225"/>
      <c r="U28" s="213"/>
    </row>
    <row r="29" spans="2:21" ht="26" hidden="1" customHeight="1">
      <c r="B29" s="270"/>
      <c r="C29" s="274" t="str">
        <f>IFERROR(IF(_xlfn.XLOOKUP(B29, Table33[Investment Name], Table33[Override Investment Amount]) = 0, IF(_xlfn.XLOOKUP('Investment Proposal'!B29, Table33[Investment Name], Table33[Sum]) = 0, "", _xlfn.XLOOKUP('Investment Proposal'!B29, Table33[Investment Name], Table33[Sum])), _xlfn.XLOOKUP('Investment Proposal'!B29, Table33[Investment Name], Table33[Override Investment Amount])), "")</f>
        <v/>
      </c>
      <c r="D29" s="275">
        <f>IFERROR(_xlfn.XLOOKUP(B29, 'Asset Class Tables and Dropdown'!$A$3:$A$1001, 'Asset Class Tables and Dropdown'!$C$3:$C$1001),"")</f>
        <v>0</v>
      </c>
      <c r="E29" s="276" t="str">
        <f t="shared" si="3"/>
        <v/>
      </c>
      <c r="F29" s="276"/>
      <c r="G29" s="261" t="str">
        <f>IFERROR(IF(_xlfn.XLOOKUP(B29, 'Asset Class Tables and Dropdown'!$A$3:$A$1001, 'Asset Class Tables and Dropdown'!$D$3:$D$1001)=0, "", _xlfn.XLOOKUP(B29, 'Asset Class Tables and Dropdown'!$A$3:$A$1001, 'Asset Class Tables and Dropdown'!$D$3:$D$1001)), "")</f>
        <v/>
      </c>
      <c r="H29" s="261" t="str">
        <f>IFERROR(IF(_xlfn.XLOOKUP(B29, 'Asset Class Tables and Dropdown'!$A$3:$A$1001, 'Asset Class Tables and Dropdown'!$E$3:$E$1001)=0, "", _xlfn.XLOOKUP(B29, 'Asset Class Tables and Dropdown'!$A$3:$A$1001, 'Asset Class Tables and Dropdown'!$E$3:$E$1001)),"")</f>
        <v/>
      </c>
      <c r="I29" s="227">
        <f t="shared" si="2"/>
        <v>0</v>
      </c>
      <c r="K29" s="213" t="str">
        <f t="shared" si="0"/>
        <v/>
      </c>
      <c r="L29" s="213"/>
      <c r="M29" s="225"/>
      <c r="N29" s="225"/>
      <c r="O29" s="225"/>
      <c r="P29" s="225"/>
      <c r="Q29" s="225"/>
      <c r="R29" s="225"/>
      <c r="S29" s="225"/>
      <c r="T29" s="225"/>
      <c r="U29" s="213"/>
    </row>
    <row r="30" spans="2:21" ht="26" hidden="1" customHeight="1">
      <c r="B30" s="270"/>
      <c r="C30" s="274" t="str">
        <f>IFERROR(IF(_xlfn.XLOOKUP(B30, Table33[Investment Name], Table33[Override Investment Amount]) = 0, IF(_xlfn.XLOOKUP('Investment Proposal'!B30, Table33[Investment Name], Table33[Sum]) = 0, "", _xlfn.XLOOKUP('Investment Proposal'!B30, Table33[Investment Name], Table33[Sum])), _xlfn.XLOOKUP('Investment Proposal'!B30, Table33[Investment Name], Table33[Override Investment Amount])), "")</f>
        <v/>
      </c>
      <c r="D30" s="275">
        <f>IFERROR(_xlfn.XLOOKUP(B30, 'Asset Class Tables and Dropdown'!$A$3:$A$1001, 'Asset Class Tables and Dropdown'!$C$3:$C$1001),"")</f>
        <v>0</v>
      </c>
      <c r="E30" s="276" t="str">
        <f t="shared" si="3"/>
        <v/>
      </c>
      <c r="F30" s="276"/>
      <c r="G30" s="261" t="str">
        <f>IFERROR(IF(_xlfn.XLOOKUP(B30, 'Asset Class Tables and Dropdown'!$A$3:$A$1001, 'Asset Class Tables and Dropdown'!$D$3:$D$1001)=0, "", _xlfn.XLOOKUP(B30, 'Asset Class Tables and Dropdown'!$A$3:$A$1001, 'Asset Class Tables and Dropdown'!$D$3:$D$1001)), "")</f>
        <v/>
      </c>
      <c r="H30" s="261" t="str">
        <f>IFERROR(IF(_xlfn.XLOOKUP(B30, 'Asset Class Tables and Dropdown'!$A$3:$A$1001, 'Asset Class Tables and Dropdown'!$E$3:$E$1001)=0, "", _xlfn.XLOOKUP(B30, 'Asset Class Tables and Dropdown'!$A$3:$A$1001, 'Asset Class Tables and Dropdown'!$E$3:$E$1001)),"")</f>
        <v/>
      </c>
      <c r="I30" s="227">
        <f t="shared" si="2"/>
        <v>0</v>
      </c>
      <c r="K30" s="213" t="str">
        <f t="shared" si="0"/>
        <v/>
      </c>
      <c r="L30" s="213"/>
      <c r="M30" s="225"/>
      <c r="N30" s="225"/>
      <c r="O30" s="225"/>
      <c r="P30" s="225"/>
      <c r="Q30" s="225"/>
      <c r="R30" s="225"/>
      <c r="S30" s="225"/>
      <c r="T30" s="225"/>
      <c r="U30" s="213"/>
    </row>
    <row r="31" spans="2:21" ht="26" hidden="1" customHeight="1">
      <c r="B31" s="270"/>
      <c r="C31" s="274" t="str">
        <f>IFERROR(IF(_xlfn.XLOOKUP(B31, Table33[Investment Name], Table33[Override Investment Amount]) = 0, IF(_xlfn.XLOOKUP('Investment Proposal'!B31, Table33[Investment Name], Table33[Sum]) = 0, "", _xlfn.XLOOKUP('Investment Proposal'!B31, Table33[Investment Name], Table33[Sum])), _xlfn.XLOOKUP('Investment Proposal'!B31, Table33[Investment Name], Table33[Override Investment Amount])), "")</f>
        <v/>
      </c>
      <c r="D31" s="275">
        <f>IFERROR(_xlfn.XLOOKUP(B31, 'Asset Class Tables and Dropdown'!$A$3:$A$1001, 'Asset Class Tables and Dropdown'!$C$3:$C$1001),"")</f>
        <v>0</v>
      </c>
      <c r="E31" s="276" t="str">
        <f t="shared" si="3"/>
        <v/>
      </c>
      <c r="F31" s="276"/>
      <c r="G31" s="261" t="str">
        <f>IFERROR(IF(_xlfn.XLOOKUP(B31, 'Asset Class Tables and Dropdown'!$A$3:$A$1001, 'Asset Class Tables and Dropdown'!$D$3:$D$1001)=0, "", _xlfn.XLOOKUP(B31, 'Asset Class Tables and Dropdown'!$A$3:$A$1001, 'Asset Class Tables and Dropdown'!$D$3:$D$1001)), "")</f>
        <v/>
      </c>
      <c r="H31" s="261" t="str">
        <f>IFERROR(IF(_xlfn.XLOOKUP(B31, 'Asset Class Tables and Dropdown'!$A$3:$A$1001, 'Asset Class Tables and Dropdown'!$E$3:$E$1001)=0, "", _xlfn.XLOOKUP(B31, 'Asset Class Tables and Dropdown'!$A$3:$A$1001, 'Asset Class Tables and Dropdown'!$E$3:$E$1001)),"")</f>
        <v/>
      </c>
      <c r="I31" s="227">
        <f t="shared" si="2"/>
        <v>0</v>
      </c>
      <c r="K31" s="213" t="str">
        <f t="shared" si="0"/>
        <v/>
      </c>
      <c r="L31" s="213"/>
      <c r="M31" s="225"/>
      <c r="N31" s="225"/>
      <c r="O31" s="225"/>
      <c r="P31" s="225"/>
      <c r="Q31" s="225"/>
      <c r="R31" s="225"/>
      <c r="S31" s="225"/>
      <c r="T31" s="225"/>
      <c r="U31" s="213"/>
    </row>
    <row r="32" spans="2:21" ht="26" hidden="1" customHeight="1">
      <c r="B32" s="270"/>
      <c r="C32" s="274" t="str">
        <f>IFERROR(IF(_xlfn.XLOOKUP(B32, Table33[Investment Name], Table33[Override Investment Amount]) = 0, IF(_xlfn.XLOOKUP('Investment Proposal'!B32, Table33[Investment Name], Table33[Sum]) = 0, "", _xlfn.XLOOKUP('Investment Proposal'!B32, Table33[Investment Name], Table33[Sum])), _xlfn.XLOOKUP('Investment Proposal'!B32, Table33[Investment Name], Table33[Override Investment Amount])), "")</f>
        <v/>
      </c>
      <c r="D32" s="275">
        <f>IFERROR(_xlfn.XLOOKUP(B32, 'Asset Class Tables and Dropdown'!$A$3:$A$1001, 'Asset Class Tables and Dropdown'!$C$3:$C$1001),"")</f>
        <v>0</v>
      </c>
      <c r="E32" s="276" t="str">
        <f t="shared" si="3"/>
        <v/>
      </c>
      <c r="F32" s="276"/>
      <c r="G32" s="261" t="str">
        <f>IFERROR(IF(_xlfn.XLOOKUP(B32, 'Asset Class Tables and Dropdown'!$A$3:$A$1001, 'Asset Class Tables and Dropdown'!$D$3:$D$1001)=0, "", _xlfn.XLOOKUP(B32, 'Asset Class Tables and Dropdown'!$A$3:$A$1001, 'Asset Class Tables and Dropdown'!$D$3:$D$1001)), "")</f>
        <v/>
      </c>
      <c r="H32" s="261" t="str">
        <f>IFERROR(IF(_xlfn.XLOOKUP(B32, 'Asset Class Tables and Dropdown'!$A$3:$A$1001, 'Asset Class Tables and Dropdown'!$E$3:$E$1001)=0, "", _xlfn.XLOOKUP(B32, 'Asset Class Tables and Dropdown'!$A$3:$A$1001, 'Asset Class Tables and Dropdown'!$E$3:$E$1001)),"")</f>
        <v/>
      </c>
      <c r="I32" s="227">
        <f t="shared" si="2"/>
        <v>0</v>
      </c>
      <c r="K32" s="213" t="str">
        <f t="shared" si="0"/>
        <v/>
      </c>
      <c r="L32" s="213"/>
      <c r="M32" s="225"/>
      <c r="N32" s="225"/>
      <c r="O32" s="225"/>
      <c r="P32" s="225"/>
      <c r="Q32" s="225"/>
      <c r="R32" s="225"/>
      <c r="S32" s="225"/>
      <c r="T32" s="225"/>
      <c r="U32" s="213"/>
    </row>
    <row r="33" spans="2:21" ht="26" hidden="1" customHeight="1">
      <c r="B33" s="270"/>
      <c r="C33" s="274" t="str">
        <f>IFERROR(IF(_xlfn.XLOOKUP(B33, Table33[Investment Name], Table33[Override Investment Amount]) = 0, IF(_xlfn.XLOOKUP('Investment Proposal'!B33, Table33[Investment Name], Table33[Sum]) = 0, "", _xlfn.XLOOKUP('Investment Proposal'!B33, Table33[Investment Name], Table33[Sum])), _xlfn.XLOOKUP('Investment Proposal'!B33, Table33[Investment Name], Table33[Override Investment Amount])), "")</f>
        <v/>
      </c>
      <c r="D33" s="275">
        <f>IFERROR(_xlfn.XLOOKUP(B33, 'Asset Class Tables and Dropdown'!$A$3:$A$1001, 'Asset Class Tables and Dropdown'!$C$3:$C$1001),"")</f>
        <v>0</v>
      </c>
      <c r="E33" s="276" t="str">
        <f t="shared" si="3"/>
        <v/>
      </c>
      <c r="F33" s="276"/>
      <c r="G33" s="261" t="str">
        <f>IFERROR(IF(_xlfn.XLOOKUP(B33, 'Asset Class Tables and Dropdown'!$A$3:$A$1001, 'Asset Class Tables and Dropdown'!$D$3:$D$1001)=0, "", _xlfn.XLOOKUP(B33, 'Asset Class Tables and Dropdown'!$A$3:$A$1001, 'Asset Class Tables and Dropdown'!$D$3:$D$1001)), "")</f>
        <v/>
      </c>
      <c r="H33" s="261" t="str">
        <f>IFERROR(IF(_xlfn.XLOOKUP(B33, 'Asset Class Tables and Dropdown'!$A$3:$A$1001, 'Asset Class Tables and Dropdown'!$E$3:$E$1001)=0, "", _xlfn.XLOOKUP(B33, 'Asset Class Tables and Dropdown'!$A$3:$A$1001, 'Asset Class Tables and Dropdown'!$E$3:$E$1001)),"")</f>
        <v/>
      </c>
      <c r="I33" s="227">
        <f t="shared" si="2"/>
        <v>0</v>
      </c>
      <c r="K33" s="213" t="str">
        <f t="shared" si="0"/>
        <v/>
      </c>
      <c r="L33" s="213"/>
      <c r="M33" s="225"/>
      <c r="N33" s="225"/>
      <c r="O33" s="225"/>
      <c r="P33" s="225"/>
      <c r="Q33" s="225"/>
      <c r="R33" s="225"/>
      <c r="S33" s="225"/>
      <c r="T33" s="225"/>
      <c r="U33" s="213"/>
    </row>
    <row r="34" spans="2:21" ht="26" hidden="1" customHeight="1">
      <c r="B34" s="270"/>
      <c r="C34" s="274" t="str">
        <f>IFERROR(IF(_xlfn.XLOOKUP(B34, Table33[Investment Name], Table33[Override Investment Amount]) = 0, IF(_xlfn.XLOOKUP('Investment Proposal'!B34, Table33[Investment Name], Table33[Sum]) = 0, "", _xlfn.XLOOKUP('Investment Proposal'!B34, Table33[Investment Name], Table33[Sum])), _xlfn.XLOOKUP('Investment Proposal'!B34, Table33[Investment Name], Table33[Override Investment Amount])), "")</f>
        <v/>
      </c>
      <c r="D34" s="275">
        <f>IFERROR(_xlfn.XLOOKUP(B34, 'Asset Class Tables and Dropdown'!$A$3:$A$1001, 'Asset Class Tables and Dropdown'!$C$3:$C$1001),"")</f>
        <v>0</v>
      </c>
      <c r="E34" s="276" t="str">
        <f t="shared" si="3"/>
        <v/>
      </c>
      <c r="F34" s="276"/>
      <c r="G34" s="261" t="str">
        <f>IFERROR(IF(_xlfn.XLOOKUP(B34, 'Asset Class Tables and Dropdown'!$A$3:$A$1001, 'Asset Class Tables and Dropdown'!$D$3:$D$1001)=0, "", _xlfn.XLOOKUP(B34, 'Asset Class Tables and Dropdown'!$A$3:$A$1001, 'Asset Class Tables and Dropdown'!$D$3:$D$1001)), "")</f>
        <v/>
      </c>
      <c r="H34" s="261" t="str">
        <f>IFERROR(IF(_xlfn.XLOOKUP(B34, 'Asset Class Tables and Dropdown'!$A$3:$A$1001, 'Asset Class Tables and Dropdown'!$E$3:$E$1001)=0, "", _xlfn.XLOOKUP(B34, 'Asset Class Tables and Dropdown'!$A$3:$A$1001, 'Asset Class Tables and Dropdown'!$E$3:$E$1001)),"")</f>
        <v/>
      </c>
      <c r="I34" s="227">
        <f t="shared" si="2"/>
        <v>0</v>
      </c>
      <c r="K34" s="213" t="str">
        <f t="shared" si="0"/>
        <v/>
      </c>
      <c r="L34" s="213"/>
      <c r="M34" s="225"/>
      <c r="N34" s="225"/>
      <c r="O34" s="225"/>
      <c r="P34" s="225"/>
      <c r="Q34" s="225"/>
      <c r="R34" s="225"/>
      <c r="S34" s="225"/>
      <c r="T34" s="225"/>
      <c r="U34" s="213"/>
    </row>
    <row r="35" spans="2:21" ht="26" hidden="1" customHeight="1">
      <c r="B35" s="270"/>
      <c r="C35" s="274" t="str">
        <f>IFERROR(IF(_xlfn.XLOOKUP(B35, Table33[Investment Name], Table33[Override Investment Amount]) = 0, IF(_xlfn.XLOOKUP('Investment Proposal'!B35, Table33[Investment Name], Table33[Sum]) = 0, "", _xlfn.XLOOKUP('Investment Proposal'!B35, Table33[Investment Name], Table33[Sum])), _xlfn.XLOOKUP('Investment Proposal'!B35, Table33[Investment Name], Table33[Override Investment Amount])), "")</f>
        <v/>
      </c>
      <c r="D35" s="275">
        <f>IFERROR(_xlfn.XLOOKUP(B35, 'Asset Class Tables and Dropdown'!$A$3:$A$1001, 'Asset Class Tables and Dropdown'!$C$3:$C$1001),"")</f>
        <v>0</v>
      </c>
      <c r="E35" s="276" t="str">
        <f t="shared" si="3"/>
        <v/>
      </c>
      <c r="F35" s="276"/>
      <c r="G35" s="261" t="str">
        <f>IFERROR(IF(_xlfn.XLOOKUP(B35, 'Asset Class Tables and Dropdown'!$A$3:$A$1001, 'Asset Class Tables and Dropdown'!$D$3:$D$1001)=0, "", _xlfn.XLOOKUP(B35, 'Asset Class Tables and Dropdown'!$A$3:$A$1001, 'Asset Class Tables and Dropdown'!$D$3:$D$1001)), "")</f>
        <v/>
      </c>
      <c r="H35" s="261" t="str">
        <f>IFERROR(IF(_xlfn.XLOOKUP(B35, 'Asset Class Tables and Dropdown'!$A$3:$A$1001, 'Asset Class Tables and Dropdown'!$E$3:$E$1001)=0, "", _xlfn.XLOOKUP(B35, 'Asset Class Tables and Dropdown'!$A$3:$A$1001, 'Asset Class Tables and Dropdown'!$E$3:$E$1001)),"")</f>
        <v/>
      </c>
      <c r="I35" s="227">
        <f t="shared" si="2"/>
        <v>0</v>
      </c>
      <c r="K35" s="213" t="str">
        <f t="shared" si="0"/>
        <v/>
      </c>
      <c r="L35" s="213"/>
      <c r="M35" s="225"/>
      <c r="N35" s="225"/>
      <c r="O35" s="225"/>
      <c r="P35" s="225"/>
      <c r="Q35" s="225"/>
      <c r="R35" s="225"/>
      <c r="S35" s="225"/>
      <c r="T35" s="225"/>
      <c r="U35" s="213"/>
    </row>
    <row r="36" spans="2:21" ht="26" hidden="1" customHeight="1">
      <c r="B36" s="270"/>
      <c r="C36" s="274" t="str">
        <f>IFERROR(IF(_xlfn.XLOOKUP(B36, Table33[Investment Name], Table33[Override Investment Amount]) = 0, IF(_xlfn.XLOOKUP('Investment Proposal'!B36, Table33[Investment Name], Table33[Sum]) = 0, "", _xlfn.XLOOKUP('Investment Proposal'!B36, Table33[Investment Name], Table33[Sum])), _xlfn.XLOOKUP('Investment Proposal'!B36, Table33[Investment Name], Table33[Override Investment Amount])), "")</f>
        <v/>
      </c>
      <c r="D36" s="275">
        <f>IFERROR(_xlfn.XLOOKUP(B36, 'Asset Class Tables and Dropdown'!$A$3:$A$1001, 'Asset Class Tables and Dropdown'!$C$3:$C$1001),"")</f>
        <v>0</v>
      </c>
      <c r="E36" s="276" t="str">
        <f t="shared" si="3"/>
        <v/>
      </c>
      <c r="F36" s="276"/>
      <c r="G36" s="261" t="str">
        <f>IFERROR(IF(_xlfn.XLOOKUP(B36, 'Asset Class Tables and Dropdown'!$A$3:$A$1001, 'Asset Class Tables and Dropdown'!$D$3:$D$1001)=0, "", _xlfn.XLOOKUP(B36, 'Asset Class Tables and Dropdown'!$A$3:$A$1001, 'Asset Class Tables and Dropdown'!$D$3:$D$1001)), "")</f>
        <v/>
      </c>
      <c r="H36" s="261" t="str">
        <f>IFERROR(IF(_xlfn.XLOOKUP(B36, 'Asset Class Tables and Dropdown'!$A$3:$A$1001, 'Asset Class Tables and Dropdown'!$E$3:$E$1001)=0, "", _xlfn.XLOOKUP(B36, 'Asset Class Tables and Dropdown'!$A$3:$A$1001, 'Asset Class Tables and Dropdown'!$E$3:$E$1001)),"")</f>
        <v/>
      </c>
      <c r="I36" s="227">
        <f t="shared" si="2"/>
        <v>0</v>
      </c>
      <c r="K36" s="213" t="str">
        <f t="shared" si="0"/>
        <v/>
      </c>
      <c r="L36" s="213"/>
      <c r="M36" s="225"/>
      <c r="N36" s="225"/>
      <c r="O36" s="225"/>
      <c r="P36" s="225"/>
      <c r="Q36" s="225"/>
      <c r="R36" s="225"/>
      <c r="S36" s="225"/>
      <c r="T36" s="225"/>
      <c r="U36" s="213"/>
    </row>
    <row r="37" spans="2:21" ht="26" hidden="1" customHeight="1">
      <c r="B37" s="270"/>
      <c r="C37" s="274" t="str">
        <f>IFERROR(IF(_xlfn.XLOOKUP(B37, Table33[Investment Name], Table33[Override Investment Amount]) = 0, IF(_xlfn.XLOOKUP('Investment Proposal'!B37, Table33[Investment Name], Table33[Sum]) = 0, "", _xlfn.XLOOKUP('Investment Proposal'!B37, Table33[Investment Name], Table33[Sum])), _xlfn.XLOOKUP('Investment Proposal'!B37, Table33[Investment Name], Table33[Override Investment Amount])), "")</f>
        <v/>
      </c>
      <c r="D37" s="275">
        <f>IFERROR(_xlfn.XLOOKUP(B37, 'Asset Class Tables and Dropdown'!$A$3:$A$1001, 'Asset Class Tables and Dropdown'!$C$3:$C$1001),"")</f>
        <v>0</v>
      </c>
      <c r="E37" s="276" t="str">
        <f t="shared" si="3"/>
        <v/>
      </c>
      <c r="F37" s="276"/>
      <c r="G37" s="261" t="str">
        <f>IFERROR(IF(_xlfn.XLOOKUP(B37, 'Asset Class Tables and Dropdown'!$A$3:$A$1001, 'Asset Class Tables and Dropdown'!$D$3:$D$1001)=0, "", _xlfn.XLOOKUP(B37, 'Asset Class Tables and Dropdown'!$A$3:$A$1001, 'Asset Class Tables and Dropdown'!$D$3:$D$1001)), "")</f>
        <v/>
      </c>
      <c r="H37" s="261" t="str">
        <f>IFERROR(IF(_xlfn.XLOOKUP(B37, 'Asset Class Tables and Dropdown'!$A$3:$A$1001, 'Asset Class Tables and Dropdown'!$E$3:$E$1001)=0, "", _xlfn.XLOOKUP(B37, 'Asset Class Tables and Dropdown'!$A$3:$A$1001, 'Asset Class Tables and Dropdown'!$E$3:$E$1001)),"")</f>
        <v/>
      </c>
      <c r="I37" s="227">
        <f t="shared" si="2"/>
        <v>0</v>
      </c>
      <c r="K37" s="213" t="str">
        <f t="shared" si="0"/>
        <v/>
      </c>
      <c r="L37" s="213"/>
      <c r="M37" s="225"/>
      <c r="N37" s="225"/>
      <c r="O37" s="225"/>
      <c r="P37" s="225"/>
      <c r="Q37" s="225"/>
      <c r="R37" s="225"/>
      <c r="S37" s="225"/>
      <c r="T37" s="225"/>
      <c r="U37" s="213"/>
    </row>
    <row r="38" spans="2:21" ht="26" customHeight="1">
      <c r="B38" s="277" t="s">
        <v>40</v>
      </c>
      <c r="C38" s="278">
        <f>SUM(C16:C37)</f>
        <v>0</v>
      </c>
      <c r="D38" s="278"/>
      <c r="E38" s="278">
        <f>SUM(E16:E37)</f>
        <v>0</v>
      </c>
      <c r="F38" s="279"/>
      <c r="G38" s="263"/>
      <c r="H38" s="263" t="str">
        <f>IFERROR(VLOOKUP(B38,'Asset Class Tables and Dropdown'!$A$4:$E$21,5,FALSE),"")</f>
        <v/>
      </c>
      <c r="I38" s="226">
        <f>IF(SUM(I16:I37) = 0, 0, 1)</f>
        <v>0</v>
      </c>
      <c r="K38" s="213" t="str">
        <f t="shared" si="0"/>
        <v/>
      </c>
      <c r="L38" s="213"/>
      <c r="M38" s="225"/>
      <c r="N38" s="225">
        <f>C38</f>
        <v>0</v>
      </c>
      <c r="O38" s="225"/>
      <c r="P38" s="225"/>
      <c r="Q38" s="225"/>
      <c r="R38" s="225"/>
      <c r="S38" s="225"/>
      <c r="T38" s="225"/>
      <c r="U38" s="213"/>
    </row>
    <row r="39" spans="2:21" ht="26" customHeight="1">
      <c r="B39" s="270"/>
      <c r="C39" s="274"/>
      <c r="D39" s="275"/>
      <c r="E39" s="276"/>
      <c r="F39" s="276"/>
      <c r="G39" s="261"/>
      <c r="H39" s="261"/>
      <c r="I39" s="226">
        <f>IF(SUM(I16:I37) = 0, 0, 1)</f>
        <v>0</v>
      </c>
      <c r="K39" s="213" t="str">
        <f t="shared" si="0"/>
        <v/>
      </c>
      <c r="L39" s="213"/>
      <c r="M39" s="225"/>
      <c r="N39" s="225"/>
      <c r="O39" s="225"/>
      <c r="P39" s="225"/>
      <c r="Q39" s="225"/>
      <c r="R39" s="225"/>
      <c r="S39" s="225"/>
      <c r="T39" s="225"/>
      <c r="U39" s="213"/>
    </row>
    <row r="40" spans="2:21" ht="26" hidden="1" customHeight="1">
      <c r="B40" s="271" t="s">
        <v>41</v>
      </c>
      <c r="C40" s="274"/>
      <c r="D40" s="275"/>
      <c r="E40" s="276"/>
      <c r="F40" s="276"/>
      <c r="G40" s="261"/>
      <c r="H40" s="261"/>
      <c r="I40" s="226">
        <f>IF(SUM(I41:I53) = 0, 0, 1)</f>
        <v>0</v>
      </c>
      <c r="K40" s="213" t="str">
        <f t="shared" si="0"/>
        <v>PRIVATE LENDING</v>
      </c>
      <c r="L40" s="213"/>
      <c r="M40" s="225"/>
      <c r="N40" s="225"/>
      <c r="O40" s="225"/>
      <c r="P40" s="225"/>
      <c r="Q40" s="225"/>
      <c r="R40" s="225"/>
      <c r="S40" s="225"/>
      <c r="T40" s="225"/>
      <c r="U40" s="213"/>
    </row>
    <row r="41" spans="2:21" ht="26" hidden="1" customHeight="1">
      <c r="B41" s="270" t="s">
        <v>341</v>
      </c>
      <c r="C41" s="274" t="str">
        <f>IFERROR(IF(_xlfn.XLOOKUP(B41, Table33[Investment Name], Table33[Override Investment Amount]) = 0, IF(_xlfn.XLOOKUP('Investment Proposal'!B41, Table33[Investment Name], Table33[Sum]) = 0, "", _xlfn.XLOOKUP('Investment Proposal'!B41, Table33[Investment Name], Table33[Sum])), _xlfn.XLOOKUP('Investment Proposal'!B41, Table33[Investment Name], Table33[Override Investment Amount])), "")</f>
        <v/>
      </c>
      <c r="D41" s="275">
        <f>IFERROR(_xlfn.XLOOKUP(B41, 'Asset Class Tables and Dropdown'!$A$3:$A$1001, 'Asset Class Tables and Dropdown'!$C$3:$C$1001),"")</f>
        <v>8.1199999999999994E-2</v>
      </c>
      <c r="E41" s="276" t="str">
        <f t="shared" ref="E41:E46" si="4">IFERROR(IF(C41*D41&gt;0,C41*D41,""),"")</f>
        <v/>
      </c>
      <c r="F41" s="276"/>
      <c r="G41" s="261" t="str">
        <f>IFERROR(IF(_xlfn.XLOOKUP(B41, 'Asset Class Tables and Dropdown'!$A$3:$A$1001, 'Asset Class Tables and Dropdown'!$D$3:$D$1001)=0, "", _xlfn.XLOOKUP(B41, 'Asset Class Tables and Dropdown'!$A$3:$A$1001, 'Asset Class Tables and Dropdown'!$D$3:$D$1001)), "")</f>
        <v>Low/Mid</v>
      </c>
      <c r="H41" s="261" t="str">
        <f>IFERROR(IF(_xlfn.XLOOKUP(B41, 'Asset Class Tables and Dropdown'!$A$3:$A$1001, 'Asset Class Tables and Dropdown'!$E$3:$E$1001)=0, "", _xlfn.XLOOKUP(B41, 'Asset Class Tables and Dropdown'!$A$3:$A$1001, 'Asset Class Tables and Dropdown'!$E$3:$E$1001)),"")</f>
        <v>Conservative/Moderate</v>
      </c>
      <c r="I41" s="227">
        <f>IF(C41="", 0, 1)</f>
        <v>0</v>
      </c>
      <c r="K41" s="213" t="str">
        <f t="shared" si="0"/>
        <v>Cion Ares Diversified Credit</v>
      </c>
      <c r="L41" s="213"/>
      <c r="M41" s="225"/>
      <c r="N41" s="225"/>
      <c r="O41" s="225"/>
      <c r="P41" s="225"/>
      <c r="Q41" s="225"/>
      <c r="R41" s="225"/>
      <c r="S41" s="225"/>
      <c r="T41" s="225"/>
      <c r="U41" s="213"/>
    </row>
    <row r="42" spans="2:21" ht="26" hidden="1" customHeight="1">
      <c r="B42" s="270" t="s">
        <v>343</v>
      </c>
      <c r="C42" s="274" t="str">
        <f>IFERROR(IF(_xlfn.XLOOKUP(B42, Table33[Investment Name], Table33[Override Investment Amount]) = 0, IF(_xlfn.XLOOKUP('Investment Proposal'!B42, Table33[Investment Name], Table33[Sum]) = 0, "", _xlfn.XLOOKUP('Investment Proposal'!B42, Table33[Investment Name], Table33[Sum])), _xlfn.XLOOKUP('Investment Proposal'!B42, Table33[Investment Name], Table33[Override Investment Amount])), "")</f>
        <v/>
      </c>
      <c r="D42" s="275">
        <f>IFERROR(_xlfn.XLOOKUP(B42, 'Asset Class Tables and Dropdown'!$A$3:$A$1001, 'Asset Class Tables and Dropdown'!$C$3:$C$1001),"")</f>
        <v>0.1024</v>
      </c>
      <c r="E42" s="276" t="str">
        <f t="shared" si="4"/>
        <v/>
      </c>
      <c r="F42" s="276"/>
      <c r="G42" s="261" t="str">
        <f>IFERROR(IF(_xlfn.XLOOKUP(B42, 'Asset Class Tables and Dropdown'!$A$3:$A$1001, 'Asset Class Tables and Dropdown'!$D$3:$D$1001)=0, "", _xlfn.XLOOKUP(B42, 'Asset Class Tables and Dropdown'!$A$3:$A$1001, 'Asset Class Tables and Dropdown'!$D$3:$D$1001)), "")</f>
        <v>Low/Mid</v>
      </c>
      <c r="H42" s="261" t="str">
        <f>IFERROR(IF(_xlfn.XLOOKUP(B42, 'Asset Class Tables and Dropdown'!$A$3:$A$1001, 'Asset Class Tables and Dropdown'!$E$3:$E$1001)=0, "", _xlfn.XLOOKUP(B42, 'Asset Class Tables and Dropdown'!$A$3:$A$1001, 'Asset Class Tables and Dropdown'!$E$3:$E$1001)),"")</f>
        <v>Conservative/Moderate</v>
      </c>
      <c r="I42" s="227">
        <f t="shared" ref="I42:I53" si="5">IF(C42="", 0, 1)</f>
        <v>0</v>
      </c>
      <c r="K42" s="213" t="str">
        <f t="shared" si="0"/>
        <v>Cliffwater Corporate Lending Fund</v>
      </c>
      <c r="L42" s="213"/>
      <c r="M42" s="225"/>
      <c r="N42" s="225"/>
      <c r="O42" s="225"/>
      <c r="P42" s="225"/>
      <c r="Q42" s="225"/>
      <c r="R42" s="225"/>
      <c r="S42" s="225"/>
      <c r="T42" s="225"/>
      <c r="U42" s="213"/>
    </row>
    <row r="43" spans="2:21" ht="26" hidden="1" customHeight="1">
      <c r="B43" s="270" t="s">
        <v>430</v>
      </c>
      <c r="C43" s="274" t="str">
        <f>IFERROR(IF(_xlfn.XLOOKUP(B43, Table33[Investment Name], Table33[Override Investment Amount]) = 0, IF(_xlfn.XLOOKUP('Investment Proposal'!B43, Table33[Investment Name], Table33[Sum]) = 0, "", _xlfn.XLOOKUP('Investment Proposal'!B43, Table33[Investment Name], Table33[Sum])), _xlfn.XLOOKUP('Investment Proposal'!B43, Table33[Investment Name], Table33[Override Investment Amount])), "")</f>
        <v/>
      </c>
      <c r="D43" s="275">
        <f>IFERROR(_xlfn.XLOOKUP(B43, 'Asset Class Tables and Dropdown'!$A$3:$A$1001, 'Asset Class Tables and Dropdown'!$C$3:$C$1001),"")</f>
        <v>6.4699999999999994E-2</v>
      </c>
      <c r="E43" s="276" t="str">
        <f t="shared" si="4"/>
        <v/>
      </c>
      <c r="F43" s="276"/>
      <c r="G43" s="261" t="str">
        <f>IFERROR(IF(_xlfn.XLOOKUP(B43, 'Asset Class Tables and Dropdown'!$A$3:$A$1001, 'Asset Class Tables and Dropdown'!$D$3:$D$1001)=0, "", _xlfn.XLOOKUP(B43, 'Asset Class Tables and Dropdown'!$A$3:$A$1001, 'Asset Class Tables and Dropdown'!$D$3:$D$1001)), "")</f>
        <v>Low/Mid</v>
      </c>
      <c r="H43" s="261" t="str">
        <f>IFERROR(IF(_xlfn.XLOOKUP(B43, 'Asset Class Tables and Dropdown'!$A$3:$A$1001, 'Asset Class Tables and Dropdown'!$E$3:$E$1001)=0, "", _xlfn.XLOOKUP(B43, 'Asset Class Tables and Dropdown'!$A$3:$A$1001, 'Asset Class Tables and Dropdown'!$E$3:$E$1001)),"")</f>
        <v>Conservative/Moderate</v>
      </c>
      <c r="I43" s="227">
        <f t="shared" si="5"/>
        <v>0</v>
      </c>
      <c r="K43" s="213" t="str">
        <f t="shared" si="0"/>
        <v>Inpoint Commercial Real Estate Income</v>
      </c>
      <c r="L43" s="213"/>
      <c r="M43" s="225"/>
      <c r="N43" s="225" t="str">
        <f>C43</f>
        <v/>
      </c>
      <c r="O43" s="225"/>
      <c r="P43" s="225"/>
      <c r="Q43" s="225"/>
      <c r="R43" s="225"/>
      <c r="S43" s="225"/>
      <c r="T43" s="225"/>
      <c r="U43" s="213"/>
    </row>
    <row r="44" spans="2:21" ht="26" hidden="1" customHeight="1">
      <c r="B44" s="270" t="s">
        <v>331</v>
      </c>
      <c r="C44" s="274" t="str">
        <f>IFERROR(IF(_xlfn.XLOOKUP(B44, Table33[Investment Name], Table33[Override Investment Amount]) = 0, IF(_xlfn.XLOOKUP('Investment Proposal'!B44, Table33[Investment Name], Table33[Sum]) = 0, "", _xlfn.XLOOKUP('Investment Proposal'!B44, Table33[Investment Name], Table33[Sum])), _xlfn.XLOOKUP('Investment Proposal'!B44, Table33[Investment Name], Table33[Override Investment Amount])), "")</f>
        <v/>
      </c>
      <c r="D44" s="275">
        <f>IFERROR(_xlfn.XLOOKUP(B44, 'Asset Class Tables and Dropdown'!$A$3:$A$1001, 'Asset Class Tables and Dropdown'!$C$3:$C$1001),"")</f>
        <v>8.7499999999999994E-2</v>
      </c>
      <c r="E44" s="276" t="str">
        <f t="shared" si="4"/>
        <v/>
      </c>
      <c r="F44" s="276"/>
      <c r="G44" s="261" t="str">
        <f>IFERROR(IF(_xlfn.XLOOKUP(B44, 'Asset Class Tables and Dropdown'!$A$3:$A$1001, 'Asset Class Tables and Dropdown'!$D$3:$D$1001)=0, "", _xlfn.XLOOKUP(B44, 'Asset Class Tables and Dropdown'!$A$3:$A$1001, 'Asset Class Tables and Dropdown'!$D$3:$D$1001)), "")</f>
        <v>Low/Mid</v>
      </c>
      <c r="H44" s="261" t="str">
        <f>IFERROR(IF(_xlfn.XLOOKUP(B44, 'Asset Class Tables and Dropdown'!$A$3:$A$1001, 'Asset Class Tables and Dropdown'!$E$3:$E$1001)=0, "", _xlfn.XLOOKUP(B44, 'Asset Class Tables and Dropdown'!$A$3:$A$1001, 'Asset Class Tables and Dropdown'!$E$3:$E$1001)),"")</f>
        <v>Conservative/Moderate</v>
      </c>
      <c r="I44" s="227">
        <f t="shared" si="5"/>
        <v>0</v>
      </c>
      <c r="K44" s="213" t="str">
        <f t="shared" si="0"/>
        <v>Blue Owl Credit Income Corp</v>
      </c>
      <c r="L44" s="213"/>
      <c r="M44" s="225"/>
      <c r="N44" s="225"/>
      <c r="O44" s="225"/>
      <c r="P44" s="225"/>
      <c r="Q44" s="225"/>
      <c r="R44" s="225"/>
      <c r="S44" s="225"/>
      <c r="T44" s="225"/>
      <c r="U44" s="213"/>
    </row>
    <row r="45" spans="2:21" ht="26" hidden="1" customHeight="1">
      <c r="B45" s="270" t="s">
        <v>431</v>
      </c>
      <c r="C45" s="274" t="str">
        <f>IFERROR(IF(_xlfn.XLOOKUP(B45, Table33[Investment Name], Table33[Override Investment Amount]) = 0, IF(_xlfn.XLOOKUP('Investment Proposal'!B45, Table33[Investment Name], Table33[Sum]) = 0, "", _xlfn.XLOOKUP('Investment Proposal'!B45, Table33[Investment Name], Table33[Sum])), _xlfn.XLOOKUP('Investment Proposal'!B45, Table33[Investment Name], Table33[Override Investment Amount])), "")</f>
        <v/>
      </c>
      <c r="D45" s="275">
        <f>IFERROR(_xlfn.XLOOKUP(B45, 'Asset Class Tables and Dropdown'!$A$3:$A$1001, 'Asset Class Tables and Dropdown'!$C$3:$C$1001),"")</f>
        <v>8.5900000000000004E-2</v>
      </c>
      <c r="E45" s="276" t="str">
        <f t="shared" si="4"/>
        <v/>
      </c>
      <c r="F45" s="276"/>
      <c r="G45" s="261" t="str">
        <f>IFERROR(IF(_xlfn.XLOOKUP(B45, 'Asset Class Tables and Dropdown'!$A$3:$A$1001, 'Asset Class Tables and Dropdown'!$D$3:$D$1001)=0, "", _xlfn.XLOOKUP(B45, 'Asset Class Tables and Dropdown'!$A$3:$A$1001, 'Asset Class Tables and Dropdown'!$D$3:$D$1001)), "")</f>
        <v>Low/Mid</v>
      </c>
      <c r="H45" s="261" t="str">
        <f>IFERROR(IF(_xlfn.XLOOKUP(B45, 'Asset Class Tables and Dropdown'!$A$3:$A$1001, 'Asset Class Tables and Dropdown'!$E$3:$E$1001)=0, "", _xlfn.XLOOKUP(B45, 'Asset Class Tables and Dropdown'!$A$3:$A$1001, 'Asset Class Tables and Dropdown'!$E$3:$E$1001)),"")</f>
        <v>Conservative/Moderate</v>
      </c>
      <c r="I45" s="227">
        <f t="shared" si="5"/>
        <v>0</v>
      </c>
      <c r="K45" s="213" t="str">
        <f t="shared" si="0"/>
        <v>Blue Owl Technology Income Corp</v>
      </c>
      <c r="L45" s="213"/>
      <c r="M45" s="225"/>
      <c r="N45" s="225"/>
      <c r="O45" s="225"/>
      <c r="P45" s="225"/>
      <c r="Q45" s="225"/>
      <c r="R45" s="225"/>
      <c r="S45" s="225"/>
      <c r="T45" s="225"/>
      <c r="U45" s="213"/>
    </row>
    <row r="46" spans="2:21" ht="26" hidden="1" customHeight="1">
      <c r="B46" s="270" t="s">
        <v>386</v>
      </c>
      <c r="C46" s="274" t="str">
        <f>IFERROR(IF(_xlfn.XLOOKUP(B46, Table33[Investment Name], Table33[Override Investment Amount]) = 0, IF(_xlfn.XLOOKUP('Investment Proposal'!B46, Table33[Investment Name], Table33[Sum]) = 0, "", _xlfn.XLOOKUP('Investment Proposal'!B46, Table33[Investment Name], Table33[Sum])), _xlfn.XLOOKUP('Investment Proposal'!B46, Table33[Investment Name], Table33[Override Investment Amount])), "")</f>
        <v/>
      </c>
      <c r="D46" s="275">
        <f>IFERROR(_xlfn.XLOOKUP(B46, 'Asset Class Tables and Dropdown'!$A$3:$A$1001, 'Asset Class Tables and Dropdown'!$C$3:$C$1001),"")</f>
        <v>0.122</v>
      </c>
      <c r="E46" s="276" t="str">
        <f t="shared" si="4"/>
        <v/>
      </c>
      <c r="F46" s="276"/>
      <c r="G46" s="261" t="str">
        <f>IFERROR(IF(_xlfn.XLOOKUP(B46, 'Asset Class Tables and Dropdown'!$A$3:$A$1001, 'Asset Class Tables and Dropdown'!$D$3:$D$1001)=0, "", _xlfn.XLOOKUP(B46, 'Asset Class Tables and Dropdown'!$A$3:$A$1001, 'Asset Class Tables and Dropdown'!$D$3:$D$1001)), "")</f>
        <v>Low/Mid</v>
      </c>
      <c r="H46" s="261" t="str">
        <f>IFERROR(IF(_xlfn.XLOOKUP(B46, 'Asset Class Tables and Dropdown'!$A$3:$A$1001, 'Asset Class Tables and Dropdown'!$E$3:$E$1001)=0, "", _xlfn.XLOOKUP(B46, 'Asset Class Tables and Dropdown'!$A$3:$A$1001, 'Asset Class Tables and Dropdown'!$E$3:$E$1001)),"")</f>
        <v>Conservative/Moderate</v>
      </c>
      <c r="I46" s="227">
        <f t="shared" si="5"/>
        <v>0</v>
      </c>
      <c r="K46" s="213" t="str">
        <f t="shared" si="0"/>
        <v>Nuveen Churchill Private Capital Income Fund</v>
      </c>
      <c r="L46" s="213"/>
      <c r="M46" s="225"/>
      <c r="N46" s="225"/>
      <c r="O46" s="225"/>
      <c r="P46" s="225"/>
      <c r="Q46" s="225"/>
      <c r="R46" s="225"/>
      <c r="S46" s="225"/>
      <c r="T46" s="225"/>
      <c r="U46" s="213"/>
    </row>
    <row r="47" spans="2:21" ht="26" hidden="1" customHeight="1">
      <c r="B47" s="270" t="s">
        <v>210</v>
      </c>
      <c r="C47" s="274" t="str">
        <f>IFERROR(IF(_xlfn.XLOOKUP(B47, Table33[Investment Name], Table33[Override Investment Amount]) = 0, IF(_xlfn.XLOOKUP('Investment Proposal'!B47, Table33[Investment Name], Table33[Sum]) = 0, "", _xlfn.XLOOKUP('Investment Proposal'!B47, Table33[Investment Name], Table33[Sum])), _xlfn.XLOOKUP('Investment Proposal'!B47, Table33[Investment Name], Table33[Override Investment Amount])), "")</f>
        <v/>
      </c>
      <c r="D47" s="275">
        <f>IFERROR(_xlfn.XLOOKUP(B47, 'Asset Class Tables and Dropdown'!$A$3:$A$1001, 'Asset Class Tables and Dropdown'!$C$3:$C$1001),"")</f>
        <v>0</v>
      </c>
      <c r="E47" s="276" t="str">
        <f t="shared" ref="E47:E53" si="6">IFERROR(IF(C47*D47&gt;0,C47*D47,""),"")</f>
        <v/>
      </c>
      <c r="F47" s="276"/>
      <c r="G47" s="261" t="str">
        <f>IFERROR(IF(_xlfn.XLOOKUP(B47, 'Asset Class Tables and Dropdown'!$A$3:$A$1001, 'Asset Class Tables and Dropdown'!$D$3:$D$1001)=0, "", _xlfn.XLOOKUP(B47, 'Asset Class Tables and Dropdown'!$A$3:$A$1001, 'Asset Class Tables and Dropdown'!$D$3:$D$1001)), "")</f>
        <v/>
      </c>
      <c r="H47" s="261" t="str">
        <f>IFERROR(IF(_xlfn.XLOOKUP(B47, 'Asset Class Tables and Dropdown'!$A$3:$A$1001, 'Asset Class Tables and Dropdown'!$E$3:$E$1001)=0, "", _xlfn.XLOOKUP(B47, 'Asset Class Tables and Dropdown'!$A$3:$A$1001, 'Asset Class Tables and Dropdown'!$E$3:$E$1001)),"")</f>
        <v/>
      </c>
      <c r="I47" s="227">
        <f t="shared" si="5"/>
        <v>0</v>
      </c>
      <c r="K47" s="213" t="str">
        <f t="shared" si="0"/>
        <v>Private Lending Opportunity</v>
      </c>
      <c r="L47" s="213"/>
      <c r="M47" s="225"/>
      <c r="N47" s="225"/>
      <c r="O47" s="225"/>
      <c r="P47" s="225"/>
      <c r="Q47" s="225"/>
      <c r="R47" s="225"/>
      <c r="S47" s="225"/>
      <c r="T47" s="225"/>
      <c r="U47" s="213"/>
    </row>
    <row r="48" spans="2:21" ht="26" hidden="1" customHeight="1">
      <c r="B48" s="270"/>
      <c r="C48" s="274" t="str">
        <f>IFERROR(IF(_xlfn.XLOOKUP(B48, Table33[Investment Name], Table33[Override Investment Amount]) = 0, IF(_xlfn.XLOOKUP('Investment Proposal'!B48, Table33[Investment Name], Table33[Sum]) = 0, "", _xlfn.XLOOKUP('Investment Proposal'!B48, Table33[Investment Name], Table33[Sum])), _xlfn.XLOOKUP('Investment Proposal'!B48, Table33[Investment Name], Table33[Override Investment Amount])), "")</f>
        <v/>
      </c>
      <c r="D48" s="275">
        <f>IFERROR(_xlfn.XLOOKUP(B48, 'Asset Class Tables and Dropdown'!$A$3:$A$1001, 'Asset Class Tables and Dropdown'!$C$3:$C$1001),"")</f>
        <v>0</v>
      </c>
      <c r="E48" s="276" t="str">
        <f t="shared" si="6"/>
        <v/>
      </c>
      <c r="F48" s="276"/>
      <c r="G48" s="261" t="str">
        <f>IFERROR(IF(_xlfn.XLOOKUP(B48, 'Asset Class Tables and Dropdown'!$A$3:$A$1001, 'Asset Class Tables and Dropdown'!$D$3:$D$1001)=0, "", _xlfn.XLOOKUP(B48, 'Asset Class Tables and Dropdown'!$A$3:$A$1001, 'Asset Class Tables and Dropdown'!$D$3:$D$1001)), "")</f>
        <v/>
      </c>
      <c r="H48" s="261" t="str">
        <f>IFERROR(IF(_xlfn.XLOOKUP(B48, 'Asset Class Tables and Dropdown'!$A$3:$A$1001, 'Asset Class Tables and Dropdown'!$E$3:$E$1001)=0, "", _xlfn.XLOOKUP(B48, 'Asset Class Tables and Dropdown'!$A$3:$A$1001, 'Asset Class Tables and Dropdown'!$E$3:$E$1001)),"")</f>
        <v/>
      </c>
      <c r="I48" s="227">
        <f t="shared" si="5"/>
        <v>0</v>
      </c>
      <c r="K48" s="213" t="str">
        <f t="shared" si="0"/>
        <v/>
      </c>
      <c r="L48" s="213"/>
      <c r="M48" s="225"/>
      <c r="N48" s="225"/>
      <c r="O48" s="225"/>
      <c r="P48" s="225"/>
      <c r="Q48" s="225"/>
      <c r="R48" s="225"/>
      <c r="S48" s="225"/>
      <c r="T48" s="225"/>
      <c r="U48" s="213"/>
    </row>
    <row r="49" spans="2:21" ht="26" hidden="1" customHeight="1">
      <c r="B49" s="270"/>
      <c r="C49" s="274" t="str">
        <f>IFERROR(IF(_xlfn.XLOOKUP(B49, Table33[Investment Name], Table33[Override Investment Amount]) = 0, IF(_xlfn.XLOOKUP('Investment Proposal'!B49, Table33[Investment Name], Table33[Sum]) = 0, "", _xlfn.XLOOKUP('Investment Proposal'!B49, Table33[Investment Name], Table33[Sum])), _xlfn.XLOOKUP('Investment Proposal'!B49, Table33[Investment Name], Table33[Override Investment Amount])), "")</f>
        <v/>
      </c>
      <c r="D49" s="275">
        <f>IFERROR(_xlfn.XLOOKUP(B49, 'Asset Class Tables and Dropdown'!$A$3:$A$1001, 'Asset Class Tables and Dropdown'!$C$3:$C$1001),"")</f>
        <v>0</v>
      </c>
      <c r="E49" s="276" t="str">
        <f t="shared" si="6"/>
        <v/>
      </c>
      <c r="F49" s="276"/>
      <c r="G49" s="261" t="str">
        <f>IFERROR(IF(_xlfn.XLOOKUP(B49, 'Asset Class Tables and Dropdown'!$A$3:$A$1001, 'Asset Class Tables and Dropdown'!$D$3:$D$1001)=0, "", _xlfn.XLOOKUP(B49, 'Asset Class Tables and Dropdown'!$A$3:$A$1001, 'Asset Class Tables and Dropdown'!$D$3:$D$1001)), "")</f>
        <v/>
      </c>
      <c r="H49" s="261" t="str">
        <f>IFERROR(IF(_xlfn.XLOOKUP(B49, 'Asset Class Tables and Dropdown'!$A$3:$A$1001, 'Asset Class Tables and Dropdown'!$E$3:$E$1001)=0, "", _xlfn.XLOOKUP(B49, 'Asset Class Tables and Dropdown'!$A$3:$A$1001, 'Asset Class Tables and Dropdown'!$E$3:$E$1001)),"")</f>
        <v/>
      </c>
      <c r="I49" s="227">
        <f t="shared" si="5"/>
        <v>0</v>
      </c>
      <c r="K49" s="213" t="str">
        <f t="shared" si="0"/>
        <v/>
      </c>
      <c r="L49" s="213"/>
      <c r="M49" s="225"/>
      <c r="N49" s="225"/>
      <c r="O49" s="225"/>
      <c r="P49" s="225"/>
      <c r="Q49" s="225"/>
      <c r="R49" s="225"/>
      <c r="S49" s="225"/>
      <c r="T49" s="225"/>
      <c r="U49" s="213"/>
    </row>
    <row r="50" spans="2:21" ht="26" hidden="1" customHeight="1">
      <c r="B50" s="270"/>
      <c r="C50" s="274" t="str">
        <f>IFERROR(IF(_xlfn.XLOOKUP(B50, Table33[Investment Name], Table33[Override Investment Amount]) = 0, IF(_xlfn.XLOOKUP('Investment Proposal'!B50, Table33[Investment Name], Table33[Sum]) = 0, "", _xlfn.XLOOKUP('Investment Proposal'!B50, Table33[Investment Name], Table33[Sum])), _xlfn.XLOOKUP('Investment Proposal'!B50, Table33[Investment Name], Table33[Override Investment Amount])), "")</f>
        <v/>
      </c>
      <c r="D50" s="275">
        <f>IFERROR(_xlfn.XLOOKUP(B50, 'Asset Class Tables and Dropdown'!$A$3:$A$1001, 'Asset Class Tables and Dropdown'!$C$3:$C$1001),"")</f>
        <v>0</v>
      </c>
      <c r="E50" s="276" t="str">
        <f t="shared" si="6"/>
        <v/>
      </c>
      <c r="F50" s="276"/>
      <c r="G50" s="261" t="str">
        <f>IFERROR(IF(_xlfn.XLOOKUP(B50, 'Asset Class Tables and Dropdown'!$A$3:$A$1001, 'Asset Class Tables and Dropdown'!$D$3:$D$1001)=0, "", _xlfn.XLOOKUP(B50, 'Asset Class Tables and Dropdown'!$A$3:$A$1001, 'Asset Class Tables and Dropdown'!$D$3:$D$1001)), "")</f>
        <v/>
      </c>
      <c r="H50" s="261" t="str">
        <f>IFERROR(IF(_xlfn.XLOOKUP(B50, 'Asset Class Tables and Dropdown'!$A$3:$A$1001, 'Asset Class Tables and Dropdown'!$E$3:$E$1001)=0, "", _xlfn.XLOOKUP(B50, 'Asset Class Tables and Dropdown'!$A$3:$A$1001, 'Asset Class Tables and Dropdown'!$E$3:$E$1001)),"")</f>
        <v/>
      </c>
      <c r="I50" s="227">
        <f t="shared" si="5"/>
        <v>0</v>
      </c>
      <c r="K50" s="213" t="str">
        <f t="shared" si="0"/>
        <v/>
      </c>
      <c r="L50" s="213"/>
      <c r="M50" s="225"/>
      <c r="N50" s="225"/>
      <c r="O50" s="225"/>
      <c r="P50" s="225"/>
      <c r="Q50" s="225"/>
      <c r="R50" s="225"/>
      <c r="S50" s="225"/>
      <c r="T50" s="225"/>
      <c r="U50" s="213"/>
    </row>
    <row r="51" spans="2:21" ht="26" hidden="1" customHeight="1">
      <c r="B51" s="270"/>
      <c r="C51" s="274" t="str">
        <f>IFERROR(IF(_xlfn.XLOOKUP(B51, Table33[Investment Name], Table33[Override Investment Amount]) = 0, IF(_xlfn.XLOOKUP('Investment Proposal'!B51, Table33[Investment Name], Table33[Sum]) = 0, "", _xlfn.XLOOKUP('Investment Proposal'!B51, Table33[Investment Name], Table33[Sum])), _xlfn.XLOOKUP('Investment Proposal'!B51, Table33[Investment Name], Table33[Override Investment Amount])), "")</f>
        <v/>
      </c>
      <c r="D51" s="275">
        <f>IFERROR(_xlfn.XLOOKUP(B51, 'Asset Class Tables and Dropdown'!$A$3:$A$1001, 'Asset Class Tables and Dropdown'!$C$3:$C$1001),"")</f>
        <v>0</v>
      </c>
      <c r="E51" s="276" t="str">
        <f t="shared" si="6"/>
        <v/>
      </c>
      <c r="F51" s="276"/>
      <c r="G51" s="261" t="str">
        <f>IFERROR(IF(_xlfn.XLOOKUP(B51, 'Asset Class Tables and Dropdown'!$A$3:$A$1001, 'Asset Class Tables and Dropdown'!$D$3:$D$1001)=0, "", _xlfn.XLOOKUP(B51, 'Asset Class Tables and Dropdown'!$A$3:$A$1001, 'Asset Class Tables and Dropdown'!$D$3:$D$1001)), "")</f>
        <v/>
      </c>
      <c r="H51" s="261" t="str">
        <f>IFERROR(IF(_xlfn.XLOOKUP(B51, 'Asset Class Tables and Dropdown'!$A$3:$A$1001, 'Asset Class Tables and Dropdown'!$E$3:$E$1001)=0, "", _xlfn.XLOOKUP(B51, 'Asset Class Tables and Dropdown'!$A$3:$A$1001, 'Asset Class Tables and Dropdown'!$E$3:$E$1001)),"")</f>
        <v/>
      </c>
      <c r="I51" s="227">
        <f t="shared" si="5"/>
        <v>0</v>
      </c>
      <c r="K51" s="213" t="str">
        <f t="shared" si="0"/>
        <v/>
      </c>
      <c r="L51" s="213"/>
      <c r="M51" s="225"/>
      <c r="N51" s="225"/>
      <c r="O51" s="225"/>
      <c r="P51" s="225"/>
      <c r="Q51" s="225"/>
      <c r="R51" s="225"/>
      <c r="S51" s="225"/>
      <c r="T51" s="225"/>
      <c r="U51" s="213"/>
    </row>
    <row r="52" spans="2:21" ht="26" hidden="1" customHeight="1">
      <c r="B52" s="270"/>
      <c r="C52" s="274" t="str">
        <f>IFERROR(IF(_xlfn.XLOOKUP(B52, Table33[Investment Name], Table33[Override Investment Amount]) = 0, IF(_xlfn.XLOOKUP('Investment Proposal'!B52, Table33[Investment Name], Table33[Sum]) = 0, "", _xlfn.XLOOKUP('Investment Proposal'!B52, Table33[Investment Name], Table33[Sum])), _xlfn.XLOOKUP('Investment Proposal'!B52, Table33[Investment Name], Table33[Override Investment Amount])), "")</f>
        <v/>
      </c>
      <c r="D52" s="275">
        <f>IFERROR(_xlfn.XLOOKUP(B52, 'Asset Class Tables and Dropdown'!$A$3:$A$1001, 'Asset Class Tables and Dropdown'!$C$3:$C$1001),"")</f>
        <v>0</v>
      </c>
      <c r="E52" s="276" t="str">
        <f t="shared" si="6"/>
        <v/>
      </c>
      <c r="F52" s="276"/>
      <c r="G52" s="261" t="str">
        <f>IFERROR(IF(_xlfn.XLOOKUP(B52, 'Asset Class Tables and Dropdown'!$A$3:$A$1001, 'Asset Class Tables and Dropdown'!$D$3:$D$1001)=0, "", _xlfn.XLOOKUP(B52, 'Asset Class Tables and Dropdown'!$A$3:$A$1001, 'Asset Class Tables and Dropdown'!$D$3:$D$1001)), "")</f>
        <v/>
      </c>
      <c r="H52" s="261" t="str">
        <f>IFERROR(IF(_xlfn.XLOOKUP(B52, 'Asset Class Tables and Dropdown'!$A$3:$A$1001, 'Asset Class Tables and Dropdown'!$E$3:$E$1001)=0, "", _xlfn.XLOOKUP(B52, 'Asset Class Tables and Dropdown'!$A$3:$A$1001, 'Asset Class Tables and Dropdown'!$E$3:$E$1001)),"")</f>
        <v/>
      </c>
      <c r="I52" s="227">
        <f t="shared" si="5"/>
        <v>0</v>
      </c>
      <c r="K52" s="213" t="str">
        <f t="shared" si="0"/>
        <v/>
      </c>
      <c r="L52" s="213"/>
      <c r="M52" s="225"/>
      <c r="N52" s="225" t="str">
        <f>C52</f>
        <v/>
      </c>
      <c r="O52" s="225"/>
      <c r="P52" s="225"/>
      <c r="Q52" s="225"/>
      <c r="R52" s="225"/>
      <c r="S52" s="225"/>
      <c r="T52" s="225"/>
      <c r="U52" s="213"/>
    </row>
    <row r="53" spans="2:21" ht="26" hidden="1" customHeight="1">
      <c r="B53" s="270"/>
      <c r="C53" s="274" t="str">
        <f>IFERROR(IF(_xlfn.XLOOKUP(B53, Table33[Investment Name], Table33[Override Investment Amount]) = 0, IF(_xlfn.XLOOKUP('Investment Proposal'!B53, Table33[Investment Name], Table33[Sum]) = 0, "", _xlfn.XLOOKUP('Investment Proposal'!B53, Table33[Investment Name], Table33[Sum])), _xlfn.XLOOKUP('Investment Proposal'!B53, Table33[Investment Name], Table33[Override Investment Amount])), "")</f>
        <v/>
      </c>
      <c r="D53" s="275">
        <f>IFERROR(_xlfn.XLOOKUP(B53, 'Asset Class Tables and Dropdown'!$A$3:$A$1001, 'Asset Class Tables and Dropdown'!$C$3:$C$1001),"")</f>
        <v>0</v>
      </c>
      <c r="E53" s="276" t="str">
        <f t="shared" si="6"/>
        <v/>
      </c>
      <c r="F53" s="276"/>
      <c r="G53" s="261" t="str">
        <f>IFERROR(IF(_xlfn.XLOOKUP(B53, 'Asset Class Tables and Dropdown'!$A$3:$A$1001, 'Asset Class Tables and Dropdown'!$D$3:$D$1001)=0, "", _xlfn.XLOOKUP(B53, 'Asset Class Tables and Dropdown'!$A$3:$A$1001, 'Asset Class Tables and Dropdown'!$D$3:$D$1001)), "")</f>
        <v/>
      </c>
      <c r="H53" s="261" t="str">
        <f>IFERROR(IF(_xlfn.XLOOKUP(B53, 'Asset Class Tables and Dropdown'!$A$3:$A$1001, 'Asset Class Tables and Dropdown'!$E$3:$E$1001)=0, "", _xlfn.XLOOKUP(B53, 'Asset Class Tables and Dropdown'!$A$3:$A$1001, 'Asset Class Tables and Dropdown'!$E$3:$E$1001)),"")</f>
        <v/>
      </c>
      <c r="I53" s="227">
        <f t="shared" si="5"/>
        <v>0</v>
      </c>
      <c r="K53" s="213" t="str">
        <f t="shared" si="0"/>
        <v/>
      </c>
      <c r="L53" s="213"/>
      <c r="M53" s="225"/>
      <c r="N53" s="225" t="str">
        <f>C53</f>
        <v/>
      </c>
      <c r="O53" s="225"/>
      <c r="P53" s="225"/>
      <c r="Q53" s="225"/>
      <c r="R53" s="225"/>
      <c r="S53" s="225"/>
      <c r="T53" s="225"/>
      <c r="U53" s="213"/>
    </row>
    <row r="54" spans="2:21" ht="26" hidden="1" customHeight="1">
      <c r="B54" s="277" t="s">
        <v>40</v>
      </c>
      <c r="C54" s="278">
        <f>SUM(C41:C53)</f>
        <v>0</v>
      </c>
      <c r="D54" s="278"/>
      <c r="E54" s="278">
        <f>SUM(E41:E53)</f>
        <v>0</v>
      </c>
      <c r="F54" s="279"/>
      <c r="G54" s="263"/>
      <c r="H54" s="263" t="str">
        <f>IFERROR(VLOOKUP(B54,'Asset Class Tables and Dropdown'!$A$4:$E$21,5,FALSE),"")</f>
        <v/>
      </c>
      <c r="I54" s="226">
        <f>IF(SUM(I41:I53) = 0, 0, 1)</f>
        <v>0</v>
      </c>
      <c r="K54" s="213" t="str">
        <f t="shared" si="0"/>
        <v/>
      </c>
      <c r="L54" s="213"/>
      <c r="M54" s="225"/>
      <c r="N54" s="225"/>
      <c r="O54" s="225"/>
      <c r="P54" s="225"/>
      <c r="Q54" s="225"/>
      <c r="R54" s="225"/>
      <c r="S54" s="225"/>
      <c r="T54" s="225"/>
      <c r="U54" s="213"/>
    </row>
    <row r="55" spans="2:21" ht="26" hidden="1" customHeight="1">
      <c r="B55" s="270"/>
      <c r="C55" s="274"/>
      <c r="D55" s="275"/>
      <c r="E55" s="276" t="str">
        <f>IFERROR(IF(C55*D55&gt;0,C55*D55,""),"")</f>
        <v/>
      </c>
      <c r="F55" s="276"/>
      <c r="G55" s="261"/>
      <c r="H55" s="261" t="str">
        <f>IFERROR(VLOOKUP(B55,'Asset Class Tables and Dropdown'!$A$4:$E$21,5,FALSE),"")</f>
        <v/>
      </c>
      <c r="I55" s="226">
        <f>IF(SUM(I41:I53) = 0, 0, 1)</f>
        <v>0</v>
      </c>
      <c r="K55" s="213" t="str">
        <f t="shared" si="0"/>
        <v/>
      </c>
      <c r="L55" s="213"/>
      <c r="M55" s="225"/>
      <c r="N55" s="225"/>
      <c r="O55" s="225"/>
      <c r="P55" s="225"/>
      <c r="Q55" s="225"/>
      <c r="R55" s="225"/>
      <c r="S55" s="225"/>
      <c r="T55" s="225"/>
      <c r="U55" s="213"/>
    </row>
    <row r="56" spans="2:21" ht="26" hidden="1" customHeight="1">
      <c r="B56" s="271" t="s">
        <v>42</v>
      </c>
      <c r="C56" s="274" t="str">
        <f>IFERROR( _xlfn.XLOOKUP(B56,#REF!,#REF!), "")</f>
        <v/>
      </c>
      <c r="D56" s="275"/>
      <c r="E56" s="276" t="str">
        <f>IFERROR(IF(C56*D56&gt;0,C56*D56,""),"")</f>
        <v/>
      </c>
      <c r="F56" s="276"/>
      <c r="G56" s="261"/>
      <c r="H56" s="261"/>
      <c r="I56" s="226">
        <f>IF(SUM(I57:I68) = 0, 0, 1)</f>
        <v>0</v>
      </c>
      <c r="K56" s="213" t="str">
        <f t="shared" si="0"/>
        <v>PRIVATE EQUITY</v>
      </c>
      <c r="L56" s="213"/>
      <c r="M56" s="225"/>
      <c r="N56" s="225"/>
      <c r="O56" s="225"/>
      <c r="P56" s="225"/>
      <c r="Q56" s="225"/>
      <c r="R56" s="225"/>
      <c r="S56" s="225"/>
      <c r="T56" s="225"/>
      <c r="U56" s="213"/>
    </row>
    <row r="57" spans="2:21" ht="26" hidden="1" customHeight="1">
      <c r="B57" s="270" t="s">
        <v>432</v>
      </c>
      <c r="C57" s="274" t="str">
        <f>IFERROR(IF(_xlfn.XLOOKUP(B57, Table33[Investment Name], Table33[Override Investment Amount]) = 0, IF(_xlfn.XLOOKUP('Investment Proposal'!B57, Table33[Investment Name], Table33[Sum]) = 0, "", _xlfn.XLOOKUP('Investment Proposal'!B57, Table33[Investment Name], Table33[Sum])), _xlfn.XLOOKUP('Investment Proposal'!B57, Table33[Investment Name], Table33[Override Investment Amount])), "")</f>
        <v/>
      </c>
      <c r="D57" s="275">
        <f>IFERROR(_xlfn.XLOOKUP(B57, 'Asset Class Tables and Dropdown'!$A$3:$A$1001, 'Asset Class Tables and Dropdown'!$C$3:$C$1001),"")</f>
        <v>3.7400000000000003E-2</v>
      </c>
      <c r="E57" s="276" t="str">
        <f>IFERROR(IF(C57*D57&gt;0,C57*D57,""),"")</f>
        <v/>
      </c>
      <c r="F57" s="276"/>
      <c r="G57" s="261" t="str">
        <f>IFERROR(IF(_xlfn.XLOOKUP(B57, 'Asset Class Tables and Dropdown'!$A$3:$A$1001, 'Asset Class Tables and Dropdown'!$D$3:$D$1001)=0, "", _xlfn.XLOOKUP(B57, 'Asset Class Tables and Dropdown'!$A$3:$A$1001, 'Asset Class Tables and Dropdown'!$D$3:$D$1001)), "")</f>
        <v>Low/Mid</v>
      </c>
      <c r="H57" s="261" t="str">
        <f>IFERROR(IF(_xlfn.XLOOKUP(B57, 'Asset Class Tables and Dropdown'!$A$3:$A$1001, 'Asset Class Tables and Dropdown'!$E$3:$E$1001)=0, "", _xlfn.XLOOKUP(B57, 'Asset Class Tables and Dropdown'!$A$3:$A$1001, 'Asset Class Tables and Dropdown'!$E$3:$E$1001)),"")</f>
        <v>Moderate/Aggressive</v>
      </c>
      <c r="I57" s="227">
        <f>IF(C57="", 0, 1)</f>
        <v>0</v>
      </c>
      <c r="K57" s="213" t="str">
        <f t="shared" si="0"/>
        <v>CNL Strategic Capital</v>
      </c>
      <c r="L57" s="213"/>
      <c r="M57" s="225"/>
      <c r="N57" s="225"/>
      <c r="O57" s="225"/>
      <c r="P57" s="225"/>
      <c r="Q57" s="225"/>
      <c r="R57" s="225"/>
      <c r="S57" s="225"/>
      <c r="T57" s="225"/>
      <c r="U57" s="213"/>
    </row>
    <row r="58" spans="2:21" ht="26" hidden="1" customHeight="1">
      <c r="B58" s="270" t="s">
        <v>434</v>
      </c>
      <c r="C58" s="274" t="str">
        <f>IFERROR(IF(_xlfn.XLOOKUP(B58, Table33[Investment Name], Table33[Override Investment Amount]) = 0, IF(_xlfn.XLOOKUP('Investment Proposal'!B58, Table33[Investment Name], Table33[Sum]) = 0, "", _xlfn.XLOOKUP('Investment Proposal'!B58, Table33[Investment Name], Table33[Sum])), _xlfn.XLOOKUP('Investment Proposal'!B58, Table33[Investment Name], Table33[Override Investment Amount])), "")</f>
        <v/>
      </c>
      <c r="D58" s="275">
        <f>IFERROR(_xlfn.XLOOKUP(B58, 'Asset Class Tables and Dropdown'!$A$3:$A$1001, 'Asset Class Tables and Dropdown'!$C$3:$C$1001),"")</f>
        <v>0</v>
      </c>
      <c r="E58" s="276" t="str">
        <f t="shared" ref="E58:E63" si="7">IFERROR(IF(C58*D58&gt;0,C58*D58,""),"")</f>
        <v/>
      </c>
      <c r="F58" s="276"/>
      <c r="G58" s="261" t="str">
        <f>IFERROR(IF(_xlfn.XLOOKUP(B58, 'Asset Class Tables and Dropdown'!$A$3:$A$1001, 'Asset Class Tables and Dropdown'!$D$3:$D$1001)=0, "", _xlfn.XLOOKUP(B58, 'Asset Class Tables and Dropdown'!$A$3:$A$1001, 'Asset Class Tables and Dropdown'!$D$3:$D$1001)), "")</f>
        <v>None</v>
      </c>
      <c r="H58" s="261" t="str">
        <f>IFERROR(IF(_xlfn.XLOOKUP(B58, 'Asset Class Tables and Dropdown'!$A$3:$A$1001, 'Asset Class Tables and Dropdown'!$E$3:$E$1001)=0, "", _xlfn.XLOOKUP(B58, 'Asset Class Tables and Dropdown'!$A$3:$A$1001, 'Asset Class Tables and Dropdown'!$E$3:$E$1001)),"")</f>
        <v>Aggressive</v>
      </c>
      <c r="I58" s="227">
        <f t="shared" ref="I58:I68" si="8">IF(C58="", 0, 1)</f>
        <v>0</v>
      </c>
      <c r="K58" s="213" t="str">
        <f t="shared" si="0"/>
        <v xml:space="preserve">Constitution Capital Ironsides Co-Investment Fund VI </v>
      </c>
      <c r="L58" s="213"/>
      <c r="M58" s="225"/>
      <c r="N58" s="225"/>
      <c r="O58" s="225"/>
      <c r="P58" s="225"/>
      <c r="Q58" s="225"/>
      <c r="R58" s="225"/>
      <c r="S58" s="225"/>
      <c r="T58" s="225"/>
      <c r="U58" s="213"/>
    </row>
    <row r="59" spans="2:21" ht="26" hidden="1" customHeight="1">
      <c r="B59" s="270" t="s">
        <v>436</v>
      </c>
      <c r="C59" s="274" t="str">
        <f>IFERROR(IF(_xlfn.XLOOKUP(B59, Table33[Investment Name], Table33[Override Investment Amount]) = 0, IF(_xlfn.XLOOKUP('Investment Proposal'!B59, Table33[Investment Name], Table33[Sum]) = 0, "", _xlfn.XLOOKUP('Investment Proposal'!B59, Table33[Investment Name], Table33[Sum])), _xlfn.XLOOKUP('Investment Proposal'!B59, Table33[Investment Name], Table33[Override Investment Amount])), "")</f>
        <v/>
      </c>
      <c r="D59" s="275">
        <f>IFERROR(_xlfn.XLOOKUP(B59, 'Asset Class Tables and Dropdown'!$A$3:$A$1001, 'Asset Class Tables and Dropdown'!$C$3:$C$1001),"")</f>
        <v>0</v>
      </c>
      <c r="E59" s="276" t="str">
        <f t="shared" si="7"/>
        <v/>
      </c>
      <c r="F59" s="276"/>
      <c r="G59" s="261" t="str">
        <f>IFERROR(IF(_xlfn.XLOOKUP(B59, 'Asset Class Tables and Dropdown'!$A$3:$A$1001, 'Asset Class Tables and Dropdown'!$D$3:$D$1001)=0, "", _xlfn.XLOOKUP(B59, 'Asset Class Tables and Dropdown'!$A$3:$A$1001, 'Asset Class Tables and Dropdown'!$D$3:$D$1001)), "")</f>
        <v>Low/Mid</v>
      </c>
      <c r="H59" s="261" t="str">
        <f>IFERROR(IF(_xlfn.XLOOKUP(B59, 'Asset Class Tables and Dropdown'!$A$3:$A$1001, 'Asset Class Tables and Dropdown'!$E$3:$E$1001)=0, "", _xlfn.XLOOKUP(B59, 'Asset Class Tables and Dropdown'!$A$3:$A$1001, 'Asset Class Tables and Dropdown'!$E$3:$E$1001)),"")</f>
        <v>Aggressive</v>
      </c>
      <c r="I59" s="227">
        <f t="shared" si="8"/>
        <v>0</v>
      </c>
      <c r="K59" s="213" t="str">
        <f t="shared" si="0"/>
        <v>Hamilton Lane Private Assets Fund</v>
      </c>
      <c r="L59" s="213"/>
      <c r="M59" s="225"/>
      <c r="N59" s="225"/>
      <c r="O59" s="225"/>
      <c r="P59" s="225"/>
      <c r="Q59" s="225"/>
      <c r="R59" s="225"/>
      <c r="S59" s="225"/>
      <c r="T59" s="225"/>
      <c r="U59" s="213"/>
    </row>
    <row r="60" spans="2:21" ht="26" hidden="1" customHeight="1">
      <c r="B60" s="270" t="s">
        <v>437</v>
      </c>
      <c r="C60" s="274" t="str">
        <f>IFERROR(IF(_xlfn.XLOOKUP(B60, Table33[Investment Name], Table33[Override Investment Amount]) = 0, IF(_xlfn.XLOOKUP('Investment Proposal'!B60, Table33[Investment Name], Table33[Sum]) = 0, "", _xlfn.XLOOKUP('Investment Proposal'!B60, Table33[Investment Name], Table33[Sum])), _xlfn.XLOOKUP('Investment Proposal'!B60, Table33[Investment Name], Table33[Override Investment Amount])), "")</f>
        <v/>
      </c>
      <c r="D60" s="275">
        <f>IFERROR(_xlfn.XLOOKUP(B60, 'Asset Class Tables and Dropdown'!$A$3:$A$1001, 'Asset Class Tables and Dropdown'!$C$3:$C$1001),"")</f>
        <v>0</v>
      </c>
      <c r="E60" s="276" t="str">
        <f t="shared" si="7"/>
        <v/>
      </c>
      <c r="F60" s="276"/>
      <c r="G60" s="261" t="str">
        <f>IFERROR(IF(_xlfn.XLOOKUP(B60, 'Asset Class Tables and Dropdown'!$A$3:$A$1001, 'Asset Class Tables and Dropdown'!$D$3:$D$1001)=0, "", _xlfn.XLOOKUP(B60, 'Asset Class Tables and Dropdown'!$A$3:$A$1001, 'Asset Class Tables and Dropdown'!$D$3:$D$1001)), "")</f>
        <v>None</v>
      </c>
      <c r="H60" s="261" t="str">
        <f>IFERROR(IF(_xlfn.XLOOKUP(B60, 'Asset Class Tables and Dropdown'!$A$3:$A$1001, 'Asset Class Tables and Dropdown'!$E$3:$E$1001)=0, "", _xlfn.XLOOKUP(B60, 'Asset Class Tables and Dropdown'!$A$3:$A$1001, 'Asset Class Tables and Dropdown'!$E$3:$E$1001)),"")</f>
        <v>Aggressive</v>
      </c>
      <c r="I60" s="227">
        <f t="shared" si="8"/>
        <v>0</v>
      </c>
      <c r="K60" s="213" t="str">
        <f t="shared" si="0"/>
        <v>Ironsides Co-Investment Fund</v>
      </c>
      <c r="L60" s="213"/>
      <c r="M60" s="225"/>
      <c r="N60" s="225" t="str">
        <f>C60</f>
        <v/>
      </c>
      <c r="O60" s="225"/>
      <c r="P60" s="225"/>
      <c r="Q60" s="225"/>
      <c r="R60" s="225"/>
      <c r="S60" s="225"/>
      <c r="T60" s="225"/>
      <c r="U60" s="213"/>
    </row>
    <row r="61" spans="2:21" ht="26" hidden="1" customHeight="1">
      <c r="B61" s="270" t="s">
        <v>400</v>
      </c>
      <c r="C61" s="274" t="str">
        <f>IFERROR(IF(_xlfn.XLOOKUP(B61, Table33[Investment Name], Table33[Override Investment Amount]) = 0, IF(_xlfn.XLOOKUP('Investment Proposal'!B61, Table33[Investment Name], Table33[Sum]) = 0, "", _xlfn.XLOOKUP('Investment Proposal'!B61, Table33[Investment Name], Table33[Sum])), _xlfn.XLOOKUP('Investment Proposal'!B61, Table33[Investment Name], Table33[Override Investment Amount])), "")</f>
        <v/>
      </c>
      <c r="D61" s="275">
        <f>IFERROR(_xlfn.XLOOKUP(B61, 'Asset Class Tables and Dropdown'!$A$3:$A$1001, 'Asset Class Tables and Dropdown'!$C$3:$C$1001),"")</f>
        <v>0</v>
      </c>
      <c r="E61" s="276" t="str">
        <f t="shared" si="7"/>
        <v/>
      </c>
      <c r="F61" s="276"/>
      <c r="G61" s="261" t="str">
        <f>IFERROR(IF(_xlfn.XLOOKUP(B61, 'Asset Class Tables and Dropdown'!$A$3:$A$1001, 'Asset Class Tables and Dropdown'!$D$3:$D$1001)=0, "", _xlfn.XLOOKUP(B61, 'Asset Class Tables and Dropdown'!$A$3:$A$1001, 'Asset Class Tables and Dropdown'!$D$3:$D$1001)), "")</f>
        <v>Low/Mid</v>
      </c>
      <c r="H61" s="261" t="str">
        <f>IFERROR(IF(_xlfn.XLOOKUP(B61, 'Asset Class Tables and Dropdown'!$A$3:$A$1001, 'Asset Class Tables and Dropdown'!$E$3:$E$1001)=0, "", _xlfn.XLOOKUP(B61, 'Asset Class Tables and Dropdown'!$A$3:$A$1001, 'Asset Class Tables and Dropdown'!$E$3:$E$1001)),"")</f>
        <v>Moderate/Aggressive</v>
      </c>
      <c r="I61" s="227">
        <f t="shared" si="8"/>
        <v>0</v>
      </c>
      <c r="K61" s="213" t="str">
        <f t="shared" si="0"/>
        <v>Pomona Investment Fund</v>
      </c>
      <c r="L61" s="213"/>
      <c r="M61" s="225"/>
      <c r="N61" s="225" t="str">
        <f>C61</f>
        <v/>
      </c>
      <c r="O61" s="225"/>
      <c r="P61" s="225"/>
      <c r="Q61" s="225"/>
      <c r="R61" s="225"/>
      <c r="S61" s="225"/>
      <c r="T61" s="225"/>
      <c r="U61" s="213"/>
    </row>
    <row r="62" spans="2:21" ht="26" hidden="1" customHeight="1">
      <c r="B62" s="270" t="s">
        <v>214</v>
      </c>
      <c r="C62" s="274" t="str">
        <f>IFERROR(IF(_xlfn.XLOOKUP(B62, Table33[Investment Name], Table33[Override Investment Amount]) = 0, IF(_xlfn.XLOOKUP('Investment Proposal'!B62, Table33[Investment Name], Table33[Sum]) = 0, "", _xlfn.XLOOKUP('Investment Proposal'!B62, Table33[Investment Name], Table33[Sum])), _xlfn.XLOOKUP('Investment Proposal'!B62, Table33[Investment Name], Table33[Override Investment Amount])), "")</f>
        <v/>
      </c>
      <c r="D62" s="275">
        <f>IFERROR(_xlfn.XLOOKUP(B62, 'Asset Class Tables and Dropdown'!$A$3:$A$1001, 'Asset Class Tables and Dropdown'!$C$3:$C$1001),"")</f>
        <v>0</v>
      </c>
      <c r="E62" s="276" t="str">
        <f t="shared" si="7"/>
        <v/>
      </c>
      <c r="F62" s="276"/>
      <c r="G62" s="261" t="str">
        <f>IFERROR(IF(_xlfn.XLOOKUP(B62, 'Asset Class Tables and Dropdown'!$A$3:$A$1001, 'Asset Class Tables and Dropdown'!$D$3:$D$1001)=0, "", _xlfn.XLOOKUP(B62, 'Asset Class Tables and Dropdown'!$A$3:$A$1001, 'Asset Class Tables and Dropdown'!$D$3:$D$1001)), "")</f>
        <v>Low/Mid</v>
      </c>
      <c r="H62" s="261" t="str">
        <f>IFERROR(IF(_xlfn.XLOOKUP(B62, 'Asset Class Tables and Dropdown'!$A$3:$A$1001, 'Asset Class Tables and Dropdown'!$E$3:$E$1001)=0, "", _xlfn.XLOOKUP(B62, 'Asset Class Tables and Dropdown'!$A$3:$A$1001, 'Asset Class Tables and Dropdown'!$E$3:$E$1001)),"")</f>
        <v>Aggressive</v>
      </c>
      <c r="I62" s="227">
        <f t="shared" si="8"/>
        <v>0</v>
      </c>
      <c r="K62" s="213" t="str">
        <f t="shared" si="0"/>
        <v>Private Equity Opportunity</v>
      </c>
      <c r="L62" s="213"/>
      <c r="M62" s="225"/>
      <c r="N62" s="225"/>
      <c r="O62" s="225"/>
      <c r="P62" s="225"/>
      <c r="Q62" s="225"/>
      <c r="R62" s="225"/>
      <c r="S62" s="225"/>
      <c r="T62" s="225"/>
      <c r="U62" s="213"/>
    </row>
    <row r="63" spans="2:21" ht="26" hidden="1" customHeight="1">
      <c r="B63" s="270" t="s">
        <v>438</v>
      </c>
      <c r="C63" s="274" t="str">
        <f>IFERROR(IF(_xlfn.XLOOKUP(B63, Table33[Investment Name], Table33[Override Investment Amount]) = 0, IF(_xlfn.XLOOKUP('Investment Proposal'!B63, Table33[Investment Name], Table33[Sum]) = 0, "", _xlfn.XLOOKUP('Investment Proposal'!B63, Table33[Investment Name], Table33[Sum])), _xlfn.XLOOKUP('Investment Proposal'!B63, Table33[Investment Name], Table33[Override Investment Amount])), "")</f>
        <v/>
      </c>
      <c r="D63" s="275">
        <f>IFERROR(_xlfn.XLOOKUP(B63, 'Asset Class Tables and Dropdown'!$A$3:$A$1001, 'Asset Class Tables and Dropdown'!$C$3:$C$1001),"")</f>
        <v>0</v>
      </c>
      <c r="E63" s="276" t="str">
        <f t="shared" si="7"/>
        <v/>
      </c>
      <c r="F63" s="276"/>
      <c r="G63" s="261" t="str">
        <f>IFERROR(IF(_xlfn.XLOOKUP(B63, 'Asset Class Tables and Dropdown'!$A$3:$A$1001, 'Asset Class Tables and Dropdown'!$D$3:$D$1001)=0, "", _xlfn.XLOOKUP(B63, 'Asset Class Tables and Dropdown'!$A$3:$A$1001, 'Asset Class Tables and Dropdown'!$D$3:$D$1001)), "")</f>
        <v>Low/Mid</v>
      </c>
      <c r="H63" s="261" t="str">
        <f>IFERROR(IF(_xlfn.XLOOKUP(B63, 'Asset Class Tables and Dropdown'!$A$3:$A$1001, 'Asset Class Tables and Dropdown'!$E$3:$E$1001)=0, "", _xlfn.XLOOKUP(B63, 'Asset Class Tables and Dropdown'!$A$3:$A$1001, 'Asset Class Tables and Dropdown'!$E$3:$E$1001)),"")</f>
        <v>Moderate/Aggressive</v>
      </c>
      <c r="I63" s="227">
        <f t="shared" si="8"/>
        <v>0</v>
      </c>
      <c r="K63" s="213" t="str">
        <f t="shared" si="0"/>
        <v>Stepstone Private Markets Fund</v>
      </c>
      <c r="L63" s="213"/>
      <c r="M63" s="225"/>
      <c r="N63" s="225" t="str">
        <f>C63</f>
        <v/>
      </c>
      <c r="O63" s="225"/>
      <c r="P63" s="225"/>
      <c r="Q63" s="225"/>
      <c r="R63" s="225"/>
      <c r="S63" s="225"/>
      <c r="T63" s="225"/>
      <c r="U63" s="213"/>
    </row>
    <row r="64" spans="2:21" ht="26" hidden="1" customHeight="1">
      <c r="B64" s="270"/>
      <c r="C64" s="274" t="str">
        <f>IFERROR(IF(_xlfn.XLOOKUP(B64, Table33[Investment Name], Table33[Override Investment Amount]) = 0, IF(_xlfn.XLOOKUP('Investment Proposal'!B64, Table33[Investment Name], Table33[Sum]) = 0, "", _xlfn.XLOOKUP('Investment Proposal'!B64, Table33[Investment Name], Table33[Sum])), _xlfn.XLOOKUP('Investment Proposal'!B64, Table33[Investment Name], Table33[Override Investment Amount])), "")</f>
        <v/>
      </c>
      <c r="D64" s="275">
        <f>IFERROR(_xlfn.XLOOKUP(B64, 'Asset Class Tables and Dropdown'!$A$3:$A$1001, 'Asset Class Tables and Dropdown'!$C$3:$C$1001),"")</f>
        <v>0</v>
      </c>
      <c r="E64" s="276" t="str">
        <f>IFERROR(IF(C64*D64&gt;0,C64*D64,""),"")</f>
        <v/>
      </c>
      <c r="F64" s="276"/>
      <c r="G64" s="261" t="str">
        <f>IFERROR(IF(_xlfn.XLOOKUP(B64, 'Asset Class Tables and Dropdown'!$A$3:$A$1001, 'Asset Class Tables and Dropdown'!$D$3:$D$1001)=0, "", _xlfn.XLOOKUP(B64, 'Asset Class Tables and Dropdown'!$A$3:$A$1001, 'Asset Class Tables and Dropdown'!$D$3:$D$1001)), "")</f>
        <v/>
      </c>
      <c r="H64" s="261" t="str">
        <f>IFERROR(IF(_xlfn.XLOOKUP(B64, 'Asset Class Tables and Dropdown'!$A$3:$A$1001, 'Asset Class Tables and Dropdown'!$E$3:$E$1001)=0, "", _xlfn.XLOOKUP(B64, 'Asset Class Tables and Dropdown'!$A$3:$A$1001, 'Asset Class Tables and Dropdown'!$E$3:$E$1001)),"")</f>
        <v/>
      </c>
      <c r="I64" s="227">
        <f t="shared" si="8"/>
        <v>0</v>
      </c>
      <c r="K64" s="213" t="str">
        <f t="shared" si="0"/>
        <v/>
      </c>
      <c r="L64" s="213"/>
      <c r="M64" s="225"/>
      <c r="N64" s="225"/>
      <c r="O64" s="225"/>
      <c r="P64" s="225"/>
      <c r="Q64" s="225"/>
      <c r="R64" s="225"/>
      <c r="S64" s="225"/>
      <c r="T64" s="225"/>
      <c r="U64" s="213"/>
    </row>
    <row r="65" spans="2:21" ht="26" hidden="1" customHeight="1">
      <c r="B65" s="270"/>
      <c r="C65" s="274" t="str">
        <f>IFERROR(IF(_xlfn.XLOOKUP(B65, Table33[Investment Name], Table33[Override Investment Amount]) = 0, IF(_xlfn.XLOOKUP('Investment Proposal'!B65, Table33[Investment Name], Table33[Sum]) = 0, "", _xlfn.XLOOKUP('Investment Proposal'!B65, Table33[Investment Name], Table33[Sum])), _xlfn.XLOOKUP('Investment Proposal'!B65, Table33[Investment Name], Table33[Override Investment Amount])), "")</f>
        <v/>
      </c>
      <c r="D65" s="275">
        <f>IFERROR(_xlfn.XLOOKUP(B65, 'Asset Class Tables and Dropdown'!$A$3:$A$1001, 'Asset Class Tables and Dropdown'!$C$3:$C$1001),"")</f>
        <v>0</v>
      </c>
      <c r="E65" s="276" t="str">
        <f>IFERROR(IF(C65*D65&gt;0,C65*D65,""),"")</f>
        <v/>
      </c>
      <c r="F65" s="276"/>
      <c r="G65" s="261" t="str">
        <f>IFERROR(IF(_xlfn.XLOOKUP(B65, 'Asset Class Tables and Dropdown'!$A$3:$A$1001, 'Asset Class Tables and Dropdown'!$D$3:$D$1001)=0, "", _xlfn.XLOOKUP(B65, 'Asset Class Tables and Dropdown'!$A$3:$A$1001, 'Asset Class Tables and Dropdown'!$D$3:$D$1001)), "")</f>
        <v/>
      </c>
      <c r="H65" s="261" t="str">
        <f>IFERROR(IF(_xlfn.XLOOKUP(B65, 'Asset Class Tables and Dropdown'!$A$3:$A$1001, 'Asset Class Tables and Dropdown'!$E$3:$E$1001)=0, "", _xlfn.XLOOKUP(B65, 'Asset Class Tables and Dropdown'!$A$3:$A$1001, 'Asset Class Tables and Dropdown'!$E$3:$E$1001)),"")</f>
        <v/>
      </c>
      <c r="I65" s="227">
        <f t="shared" si="8"/>
        <v>0</v>
      </c>
      <c r="K65" s="213" t="str">
        <f t="shared" si="0"/>
        <v/>
      </c>
      <c r="L65" s="213"/>
      <c r="M65" s="225"/>
      <c r="N65" s="225"/>
      <c r="O65" s="225"/>
      <c r="P65" s="225"/>
      <c r="Q65" s="225"/>
      <c r="R65" s="225"/>
      <c r="S65" s="225"/>
      <c r="T65" s="225"/>
      <c r="U65" s="213"/>
    </row>
    <row r="66" spans="2:21" ht="26" hidden="1" customHeight="1">
      <c r="B66" s="270"/>
      <c r="C66" s="274" t="str">
        <f>IFERROR(IF(_xlfn.XLOOKUP(B66, Table33[Investment Name], Table33[Override Investment Amount]) = 0, IF(_xlfn.XLOOKUP('Investment Proposal'!B66, Table33[Investment Name], Table33[Sum]) = 0, "", _xlfn.XLOOKUP('Investment Proposal'!B66, Table33[Investment Name], Table33[Sum])), _xlfn.XLOOKUP('Investment Proposal'!B66, Table33[Investment Name], Table33[Override Investment Amount])), "")</f>
        <v/>
      </c>
      <c r="D66" s="275">
        <f>IFERROR(_xlfn.XLOOKUP(B66, 'Asset Class Tables and Dropdown'!$A$3:$A$1001, 'Asset Class Tables and Dropdown'!$C$3:$C$1001),"")</f>
        <v>0</v>
      </c>
      <c r="E66" s="276" t="str">
        <f>IFERROR(IF(C66*D66&gt;0,C66*D66,""),"")</f>
        <v/>
      </c>
      <c r="F66" s="276"/>
      <c r="G66" s="261" t="str">
        <f>IFERROR(IF(_xlfn.XLOOKUP(B66, 'Asset Class Tables and Dropdown'!$A$3:$A$1001, 'Asset Class Tables and Dropdown'!$D$3:$D$1001)=0, "", _xlfn.XLOOKUP(B66, 'Asset Class Tables and Dropdown'!$A$3:$A$1001, 'Asset Class Tables and Dropdown'!$D$3:$D$1001)), "")</f>
        <v/>
      </c>
      <c r="H66" s="261" t="str">
        <f>IFERROR(IF(_xlfn.XLOOKUP(B66, 'Asset Class Tables and Dropdown'!$A$3:$A$1001, 'Asset Class Tables and Dropdown'!$E$3:$E$1001)=0, "", _xlfn.XLOOKUP(B66, 'Asset Class Tables and Dropdown'!$A$3:$A$1001, 'Asset Class Tables and Dropdown'!$E$3:$E$1001)),"")</f>
        <v/>
      </c>
      <c r="I66" s="227">
        <f t="shared" si="8"/>
        <v>0</v>
      </c>
      <c r="K66" s="213" t="str">
        <f t="shared" si="0"/>
        <v/>
      </c>
      <c r="L66" s="213"/>
      <c r="M66" s="225"/>
      <c r="N66" s="225"/>
      <c r="O66" s="225"/>
      <c r="P66" s="225"/>
      <c r="Q66" s="225"/>
      <c r="R66" s="225"/>
      <c r="S66" s="225"/>
      <c r="T66" s="225"/>
      <c r="U66" s="213"/>
    </row>
    <row r="67" spans="2:21" ht="26" hidden="1" customHeight="1">
      <c r="B67" s="270"/>
      <c r="C67" s="274" t="str">
        <f>IFERROR(IF(_xlfn.XLOOKUP(B67, Table33[Investment Name], Table33[Override Investment Amount]) = 0, IF(_xlfn.XLOOKUP('Investment Proposal'!B67, Table33[Investment Name], Table33[Sum]) = 0, "", _xlfn.XLOOKUP('Investment Proposal'!B67, Table33[Investment Name], Table33[Sum])), _xlfn.XLOOKUP('Investment Proposal'!B67, Table33[Investment Name], Table33[Override Investment Amount])), "")</f>
        <v/>
      </c>
      <c r="D67" s="275">
        <f>IFERROR(_xlfn.XLOOKUP(B67, 'Asset Class Tables and Dropdown'!$A$3:$A$1001, 'Asset Class Tables and Dropdown'!$C$3:$C$1001),"")</f>
        <v>0</v>
      </c>
      <c r="E67" s="276" t="str">
        <f>IFERROR(IF(C67*D67&gt;0,C67*D67,""),"")</f>
        <v/>
      </c>
      <c r="F67" s="276"/>
      <c r="G67" s="261" t="str">
        <f>IFERROR(IF(_xlfn.XLOOKUP(B67, 'Asset Class Tables and Dropdown'!$A$3:$A$1001, 'Asset Class Tables and Dropdown'!$D$3:$D$1001)=0, "", _xlfn.XLOOKUP(B67, 'Asset Class Tables and Dropdown'!$A$3:$A$1001, 'Asset Class Tables and Dropdown'!$D$3:$D$1001)), "")</f>
        <v/>
      </c>
      <c r="H67" s="261" t="str">
        <f>IFERROR(IF(_xlfn.XLOOKUP(B67, 'Asset Class Tables and Dropdown'!$A$3:$A$1001, 'Asset Class Tables and Dropdown'!$E$3:$E$1001)=0, "", _xlfn.XLOOKUP(B67, 'Asset Class Tables and Dropdown'!$A$3:$A$1001, 'Asset Class Tables and Dropdown'!$E$3:$E$1001)),"")</f>
        <v/>
      </c>
      <c r="I67" s="227">
        <f t="shared" si="8"/>
        <v>0</v>
      </c>
      <c r="K67" s="213" t="str">
        <f t="shared" si="0"/>
        <v/>
      </c>
      <c r="L67" s="213"/>
      <c r="M67" s="225"/>
      <c r="N67" s="225"/>
      <c r="O67" s="225"/>
      <c r="P67" s="225"/>
      <c r="Q67" s="225"/>
      <c r="R67" s="225"/>
      <c r="S67" s="225"/>
      <c r="T67" s="225"/>
      <c r="U67" s="213"/>
    </row>
    <row r="68" spans="2:21" ht="26" hidden="1" customHeight="1">
      <c r="B68" s="270"/>
      <c r="C68" s="274" t="str">
        <f>IFERROR(IF(_xlfn.XLOOKUP(B68, Table33[Investment Name], Table33[Override Investment Amount]) = 0, IF(_xlfn.XLOOKUP('Investment Proposal'!B68, Table33[Investment Name], Table33[Sum]) = 0, "", _xlfn.XLOOKUP('Investment Proposal'!B68, Table33[Investment Name], Table33[Sum])), _xlfn.XLOOKUP('Investment Proposal'!B68, Table33[Investment Name], Table33[Override Investment Amount])), "")</f>
        <v/>
      </c>
      <c r="D68" s="275">
        <f>IFERROR(_xlfn.XLOOKUP(B68, 'Asset Class Tables and Dropdown'!$A$3:$A$1001, 'Asset Class Tables and Dropdown'!$C$3:$C$1001),"")</f>
        <v>0</v>
      </c>
      <c r="E68" s="276" t="str">
        <f>IFERROR(IF(C68*D68&gt;0,C68*D68,""),"")</f>
        <v/>
      </c>
      <c r="F68" s="276"/>
      <c r="G68" s="261" t="str">
        <f>IFERROR(IF(_xlfn.XLOOKUP(B68, 'Asset Class Tables and Dropdown'!$A$3:$A$1001, 'Asset Class Tables and Dropdown'!$D$3:$D$1001)=0, "", _xlfn.XLOOKUP(B68, 'Asset Class Tables and Dropdown'!$A$3:$A$1001, 'Asset Class Tables and Dropdown'!$D$3:$D$1001)), "")</f>
        <v/>
      </c>
      <c r="H68" s="261" t="str">
        <f>IFERROR(IF(_xlfn.XLOOKUP(B68, 'Asset Class Tables and Dropdown'!$A$3:$A$1001, 'Asset Class Tables and Dropdown'!$E$3:$E$1001)=0, "", _xlfn.XLOOKUP(B68, 'Asset Class Tables and Dropdown'!$A$3:$A$1001, 'Asset Class Tables and Dropdown'!$E$3:$E$1001)),"")</f>
        <v/>
      </c>
      <c r="I68" s="227">
        <f t="shared" si="8"/>
        <v>0</v>
      </c>
      <c r="K68" s="213" t="str">
        <f t="shared" si="0"/>
        <v/>
      </c>
      <c r="L68" s="213"/>
      <c r="M68" s="225"/>
      <c r="N68" s="225"/>
      <c r="O68" s="225"/>
      <c r="P68" s="225"/>
      <c r="Q68" s="225"/>
      <c r="R68" s="225"/>
      <c r="S68" s="225"/>
      <c r="T68" s="225"/>
      <c r="U68" s="213"/>
    </row>
    <row r="69" spans="2:21" ht="26" hidden="1" customHeight="1">
      <c r="B69" s="277" t="s">
        <v>40</v>
      </c>
      <c r="C69" s="278">
        <f>SUM(C57:C68)</f>
        <v>0</v>
      </c>
      <c r="D69" s="278"/>
      <c r="E69" s="278">
        <f>SUM(E57:E68)</f>
        <v>0</v>
      </c>
      <c r="F69" s="279"/>
      <c r="G69" s="263"/>
      <c r="H69" s="263" t="str">
        <f>IFERROR(VLOOKUP(B69,'Asset Class Tables and Dropdown'!$A$4:$E$21,5,FALSE),"")</f>
        <v/>
      </c>
      <c r="I69" s="226">
        <f>IF(SUM(I57:I68) = 0, 0, 1)</f>
        <v>0</v>
      </c>
      <c r="K69" s="213" t="str">
        <f t="shared" si="0"/>
        <v/>
      </c>
      <c r="L69" s="213"/>
      <c r="M69" s="225"/>
      <c r="N69" s="225"/>
      <c r="O69" s="225"/>
      <c r="P69" s="225"/>
      <c r="Q69" s="225"/>
      <c r="R69" s="225"/>
      <c r="S69" s="225"/>
      <c r="T69" s="225"/>
      <c r="U69" s="213"/>
    </row>
    <row r="70" spans="2:21" ht="26" hidden="1" customHeight="1">
      <c r="B70" s="270"/>
      <c r="C70" s="274"/>
      <c r="D70" s="274"/>
      <c r="E70" s="274"/>
      <c r="F70" s="276"/>
      <c r="G70" s="261"/>
      <c r="H70" s="261"/>
      <c r="I70" s="226">
        <f>IF(SUM(I57:I68) = 0, 0, 1)</f>
        <v>0</v>
      </c>
      <c r="K70" s="213" t="str">
        <f t="shared" si="0"/>
        <v/>
      </c>
      <c r="L70" s="213"/>
      <c r="M70" s="225"/>
      <c r="N70" s="225"/>
      <c r="O70" s="225"/>
      <c r="P70" s="225"/>
      <c r="Q70" s="225"/>
      <c r="R70" s="225"/>
      <c r="S70" s="225"/>
      <c r="T70" s="225"/>
      <c r="U70" s="213"/>
    </row>
    <row r="71" spans="2:21" ht="26" customHeight="1">
      <c r="B71" s="271" t="s">
        <v>43</v>
      </c>
      <c r="C71" s="274"/>
      <c r="D71" s="275"/>
      <c r="E71" s="276" t="str">
        <f t="shared" ref="E71:E81" si="9">IFERROR(IF(C71*D71&gt;0,C71*D71,""),"")</f>
        <v/>
      </c>
      <c r="F71" s="276"/>
      <c r="G71" s="261"/>
      <c r="H71" s="261"/>
      <c r="I71" s="226">
        <f>IF(SUM(I72:I81) = 0, 0, 1)</f>
        <v>0</v>
      </c>
      <c r="K71" s="213" t="str">
        <f t="shared" si="0"/>
        <v>NATURAL RESOURCES</v>
      </c>
      <c r="L71" s="213"/>
      <c r="M71" s="225"/>
      <c r="N71" s="225">
        <f>C71</f>
        <v>0</v>
      </c>
      <c r="O71" s="225"/>
      <c r="P71" s="225"/>
      <c r="Q71" s="225"/>
      <c r="R71" s="225"/>
      <c r="S71" s="225"/>
      <c r="T71" s="225"/>
      <c r="U71" s="213"/>
    </row>
    <row r="72" spans="2:21" ht="26" hidden="1" customHeight="1">
      <c r="B72" s="270" t="s">
        <v>216</v>
      </c>
      <c r="C72" s="274" t="str">
        <f>IFERROR(IF(_xlfn.XLOOKUP(B72, Table33[Investment Name], Table33[Override Investment Amount]) = 0, IF(_xlfn.XLOOKUP('Investment Proposal'!B72, Table33[Investment Name], Table33[Sum]) = 0, "", _xlfn.XLOOKUP('Investment Proposal'!B72, Table33[Investment Name], Table33[Sum])), _xlfn.XLOOKUP('Investment Proposal'!B72, Table33[Investment Name], Table33[Override Investment Amount])), "")</f>
        <v/>
      </c>
      <c r="D72" s="275">
        <f>IFERROR(_xlfn.XLOOKUP(B72, 'Asset Class Tables and Dropdown'!$A$3:$A$1001, 'Asset Class Tables and Dropdown'!$C$3:$C$1001),"")</f>
        <v>0</v>
      </c>
      <c r="E72" s="276" t="str">
        <f t="shared" si="9"/>
        <v/>
      </c>
      <c r="F72" s="276"/>
      <c r="G72" s="261" t="str">
        <f>IFERROR(IF(_xlfn.XLOOKUP(B72, 'Asset Class Tables and Dropdown'!$A$3:$A$1001, 'Asset Class Tables and Dropdown'!$D$3:$D$1001)=0, "", _xlfn.XLOOKUP(B72, 'Asset Class Tables and Dropdown'!$A$3:$A$1001, 'Asset Class Tables and Dropdown'!$D$3:$D$1001)), "")</f>
        <v>None</v>
      </c>
      <c r="H72" s="261" t="str">
        <f>IFERROR(IF(_xlfn.XLOOKUP(B72, 'Asset Class Tables and Dropdown'!$A$3:$A$1001, 'Asset Class Tables and Dropdown'!$E$3:$E$1001)=0, "", _xlfn.XLOOKUP(B72, 'Asset Class Tables and Dropdown'!$A$3:$A$1001, 'Asset Class Tables and Dropdown'!$E$3:$E$1001)),"")</f>
        <v>Aggressive</v>
      </c>
      <c r="I72" s="227">
        <f t="shared" ref="I72:I81" si="10">IF(C72="", 0, 1)</f>
        <v>0</v>
      </c>
      <c r="K72" s="213" t="str">
        <f t="shared" si="0"/>
        <v>APX</v>
      </c>
      <c r="L72" s="213"/>
      <c r="M72" s="225"/>
      <c r="N72" s="225" t="str">
        <f>C72</f>
        <v/>
      </c>
      <c r="O72" s="225"/>
      <c r="P72" s="225"/>
      <c r="Q72" s="225"/>
      <c r="R72" s="225"/>
      <c r="S72" s="225"/>
      <c r="T72" s="225"/>
      <c r="U72" s="213"/>
    </row>
    <row r="73" spans="2:21" ht="26" customHeight="1">
      <c r="B73" s="270" t="s">
        <v>439</v>
      </c>
      <c r="C73" s="274" t="str">
        <f>IFERROR(IF(_xlfn.XLOOKUP(B73, Table33[Investment Name], Table33[Override Investment Amount]) = 0, IF(_xlfn.XLOOKUP('Investment Proposal'!B73, Table33[Investment Name], Table33[Sum]) = 0, "", _xlfn.XLOOKUP('Investment Proposal'!B73, Table33[Investment Name], Table33[Sum])), _xlfn.XLOOKUP('Investment Proposal'!B73, Table33[Investment Name], Table33[Override Investment Amount])), "")</f>
        <v/>
      </c>
      <c r="D73" s="275">
        <f>IFERROR(_xlfn.XLOOKUP(B73, 'Asset Class Tables and Dropdown'!$A$3:$A$1001, 'Asset Class Tables and Dropdown'!$C$3:$C$1001),"")</f>
        <v>0</v>
      </c>
      <c r="E73" s="276" t="str">
        <f t="shared" si="9"/>
        <v/>
      </c>
      <c r="F73" s="276"/>
      <c r="G73" s="261" t="str">
        <f>IFERROR(IF(_xlfn.XLOOKUP(B73, 'Asset Class Tables and Dropdown'!$A$3:$A$1001, 'Asset Class Tables and Dropdown'!$D$3:$D$1001)=0, "", _xlfn.XLOOKUP(B73, 'Asset Class Tables and Dropdown'!$A$3:$A$1001, 'Asset Class Tables and Dropdown'!$D$3:$D$1001)), "")</f>
        <v>High</v>
      </c>
      <c r="H73" s="261" t="str">
        <f>IFERROR(IF(_xlfn.XLOOKUP(B73, 'Asset Class Tables and Dropdown'!$A$3:$A$1001, 'Asset Class Tables and Dropdown'!$E$3:$E$1001)=0, "", _xlfn.XLOOKUP(B73, 'Asset Class Tables and Dropdown'!$A$3:$A$1001, 'Asset Class Tables and Dropdown'!$E$3:$E$1001)),"")</f>
        <v>Aggressive</v>
      </c>
      <c r="I73" s="227">
        <f t="shared" si="10"/>
        <v>0</v>
      </c>
      <c r="K73" s="213" t="str">
        <f t="shared" si="0"/>
        <v>Chevron</v>
      </c>
      <c r="L73" s="213"/>
      <c r="M73" s="225"/>
      <c r="N73" s="225"/>
      <c r="O73" s="225"/>
      <c r="P73" s="225"/>
      <c r="Q73" s="225"/>
      <c r="R73" s="225"/>
      <c r="S73" s="225"/>
      <c r="T73" s="225"/>
      <c r="U73" s="213"/>
    </row>
    <row r="74" spans="2:21" ht="26" hidden="1" customHeight="1">
      <c r="B74" s="270" t="s">
        <v>440</v>
      </c>
      <c r="C74" s="274" t="str">
        <f>IFERROR(IF(_xlfn.XLOOKUP(B74, Table33[Investment Name], Table33[Override Investment Amount]) = 0, IF(_xlfn.XLOOKUP('Investment Proposal'!B74, Table33[Investment Name], Table33[Sum]) = 0, "", _xlfn.XLOOKUP('Investment Proposal'!B74, Table33[Investment Name], Table33[Sum])), _xlfn.XLOOKUP('Investment Proposal'!B74, Table33[Investment Name], Table33[Override Investment Amount])), "")</f>
        <v/>
      </c>
      <c r="D74" s="275">
        <f>IFERROR(_xlfn.XLOOKUP(B74, 'Asset Class Tables and Dropdown'!$A$3:$A$1001, 'Asset Class Tables and Dropdown'!$C$3:$C$1001),"")</f>
        <v>0</v>
      </c>
      <c r="E74" s="276" t="str">
        <f t="shared" si="9"/>
        <v/>
      </c>
      <c r="F74" s="276"/>
      <c r="G74" s="261" t="str">
        <f>IFERROR(IF(_xlfn.XLOOKUP(B74, 'Asset Class Tables and Dropdown'!$A$3:$A$1001, 'Asset Class Tables and Dropdown'!$D$3:$D$1001)=0, "", _xlfn.XLOOKUP(B74, 'Asset Class Tables and Dropdown'!$A$3:$A$1001, 'Asset Class Tables and Dropdown'!$D$3:$D$1001)), "")</f>
        <v>high</v>
      </c>
      <c r="H74" s="261" t="str">
        <f>IFERROR(IF(_xlfn.XLOOKUP(B74, 'Asset Class Tables and Dropdown'!$A$3:$A$1001, 'Asset Class Tables and Dropdown'!$E$3:$E$1001)=0, "", _xlfn.XLOOKUP(B74, 'Asset Class Tables and Dropdown'!$A$3:$A$1001, 'Asset Class Tables and Dropdown'!$E$3:$E$1001)),"")</f>
        <v>Aggressive</v>
      </c>
      <c r="I74" s="227">
        <f t="shared" si="10"/>
        <v>0</v>
      </c>
      <c r="K74" s="213" t="str">
        <f t="shared" si="0"/>
        <v>Exxon</v>
      </c>
      <c r="L74" s="213"/>
      <c r="M74" s="225"/>
      <c r="N74" s="225"/>
      <c r="O74" s="225"/>
      <c r="P74" s="225"/>
      <c r="Q74" s="225"/>
      <c r="R74" s="225"/>
      <c r="S74" s="225"/>
      <c r="T74" s="225"/>
      <c r="U74" s="213"/>
    </row>
    <row r="75" spans="2:21" ht="26" hidden="1" customHeight="1">
      <c r="B75" s="270" t="s">
        <v>366</v>
      </c>
      <c r="C75" s="274" t="str">
        <f>IFERROR(IF(_xlfn.XLOOKUP(B75, Table33[Investment Name], Table33[Override Investment Amount]) = 0, IF(_xlfn.XLOOKUP('Investment Proposal'!B75, Table33[Investment Name], Table33[Sum]) = 0, "", _xlfn.XLOOKUP('Investment Proposal'!B75, Table33[Investment Name], Table33[Sum])), _xlfn.XLOOKUP('Investment Proposal'!B75, Table33[Investment Name], Table33[Override Investment Amount])), "")</f>
        <v/>
      </c>
      <c r="D75" s="275">
        <f>IFERROR(_xlfn.XLOOKUP(B75, 'Asset Class Tables and Dropdown'!$A$3:$A$1001, 'Asset Class Tables and Dropdown'!$C$3:$C$1001),"")</f>
        <v>5.4199999999999998E-2</v>
      </c>
      <c r="E75" s="276" t="str">
        <f t="shared" si="9"/>
        <v/>
      </c>
      <c r="F75" s="276"/>
      <c r="G75" s="261" t="str">
        <f>IFERROR(IF(_xlfn.XLOOKUP(B75, 'Asset Class Tables and Dropdown'!$A$3:$A$1001, 'Asset Class Tables and Dropdown'!$D$3:$D$1001)=0, "", _xlfn.XLOOKUP(B75, 'Asset Class Tables and Dropdown'!$A$3:$A$1001, 'Asset Class Tables and Dropdown'!$D$3:$D$1001)), "")</f>
        <v>High</v>
      </c>
      <c r="H75" s="261" t="str">
        <f>IFERROR(IF(_xlfn.XLOOKUP(B75, 'Asset Class Tables and Dropdown'!$A$3:$A$1001, 'Asset Class Tables and Dropdown'!$E$3:$E$1001)=0, "", _xlfn.XLOOKUP(B75, 'Asset Class Tables and Dropdown'!$A$3:$A$1001, 'Asset Class Tables and Dropdown'!$E$3:$E$1001)),"")</f>
        <v>Aggressive</v>
      </c>
      <c r="I75" s="227">
        <f t="shared" si="10"/>
        <v>0</v>
      </c>
      <c r="K75" s="213" t="str">
        <f t="shared" si="0"/>
        <v xml:space="preserve">Invesco Oppenheimer MLP SteelPath Alpha </v>
      </c>
      <c r="L75" s="213"/>
      <c r="M75" s="225"/>
      <c r="N75" s="225"/>
      <c r="O75" s="225"/>
      <c r="P75" s="225"/>
      <c r="Q75" s="225"/>
      <c r="R75" s="225"/>
      <c r="S75" s="225"/>
      <c r="T75" s="225"/>
      <c r="U75" s="213"/>
    </row>
    <row r="76" spans="2:21" ht="26" hidden="1" customHeight="1">
      <c r="B76" s="270" t="s">
        <v>368</v>
      </c>
      <c r="C76" s="274" t="str">
        <f>IFERROR(IF(_xlfn.XLOOKUP(B76, Table33[Investment Name], Table33[Override Investment Amount]) = 0, IF(_xlfn.XLOOKUP('Investment Proposal'!B76, Table33[Investment Name], Table33[Sum]) = 0, "", _xlfn.XLOOKUP('Investment Proposal'!B76, Table33[Investment Name], Table33[Sum])), _xlfn.XLOOKUP('Investment Proposal'!B76, Table33[Investment Name], Table33[Override Investment Amount])), "")</f>
        <v/>
      </c>
      <c r="D76" s="275">
        <f>IFERROR(_xlfn.XLOOKUP(B76, 'Asset Class Tables and Dropdown'!$A$3:$A$1001, 'Asset Class Tables and Dropdown'!$C$3:$C$1001),"")</f>
        <v>7.0900000000000005E-2</v>
      </c>
      <c r="E76" s="276" t="str">
        <f t="shared" si="9"/>
        <v/>
      </c>
      <c r="F76" s="276"/>
      <c r="G76" s="261" t="str">
        <f>IFERROR(IF(_xlfn.XLOOKUP(B76, 'Asset Class Tables and Dropdown'!$A$3:$A$1001, 'Asset Class Tables and Dropdown'!$D$3:$D$1001)=0, "", _xlfn.XLOOKUP(B76, 'Asset Class Tables and Dropdown'!$A$3:$A$1001, 'Asset Class Tables and Dropdown'!$D$3:$D$1001)), "")</f>
        <v>High</v>
      </c>
      <c r="H76" s="261" t="str">
        <f>IFERROR(IF(_xlfn.XLOOKUP(B76, 'Asset Class Tables and Dropdown'!$A$3:$A$1001, 'Asset Class Tables and Dropdown'!$E$3:$E$1001)=0, "", _xlfn.XLOOKUP(B76, 'Asset Class Tables and Dropdown'!$A$3:$A$1001, 'Asset Class Tables and Dropdown'!$E$3:$E$1001)),"")</f>
        <v>Aggressive</v>
      </c>
      <c r="I76" s="227">
        <f t="shared" si="10"/>
        <v>0</v>
      </c>
      <c r="K76" s="213" t="str">
        <f t="shared" si="0"/>
        <v>Invesco Oppenheimer MLP SteelPath Income</v>
      </c>
      <c r="L76" s="213"/>
      <c r="M76" s="225"/>
      <c r="N76" s="225"/>
      <c r="O76" s="225"/>
      <c r="P76" s="225"/>
      <c r="Q76" s="225"/>
      <c r="R76" s="225"/>
      <c r="S76" s="225"/>
      <c r="T76" s="225"/>
      <c r="U76" s="213"/>
    </row>
    <row r="77" spans="2:21" ht="26" hidden="1" customHeight="1">
      <c r="B77" s="270" t="s">
        <v>394</v>
      </c>
      <c r="C77" s="274" t="str">
        <f>IFERROR(IF(_xlfn.XLOOKUP(B77, Table33[Investment Name], Table33[Override Investment Amount]) = 0, IF(_xlfn.XLOOKUP('Investment Proposal'!B77, Table33[Investment Name], Table33[Sum]) = 0, "", _xlfn.XLOOKUP('Investment Proposal'!B77, Table33[Investment Name], Table33[Sum])), _xlfn.XLOOKUP('Investment Proposal'!B77, Table33[Investment Name], Table33[Override Investment Amount])), "")</f>
        <v/>
      </c>
      <c r="D77" s="275">
        <f>IFERROR(_xlfn.XLOOKUP(B77, 'Asset Class Tables and Dropdown'!$A$3:$A$1001, 'Asset Class Tables and Dropdown'!$C$3:$C$1001),"")</f>
        <v>6.9800000000000001E-2</v>
      </c>
      <c r="E77" s="276" t="str">
        <f t="shared" si="9"/>
        <v/>
      </c>
      <c r="F77" s="276"/>
      <c r="G77" s="261" t="str">
        <f>IFERROR(IF(_xlfn.XLOOKUP(B77, 'Asset Class Tables and Dropdown'!$A$3:$A$1001, 'Asset Class Tables and Dropdown'!$D$3:$D$1001)=0, "", _xlfn.XLOOKUP(B77, 'Asset Class Tables and Dropdown'!$A$3:$A$1001, 'Asset Class Tables and Dropdown'!$D$3:$D$1001)), "")</f>
        <v>High</v>
      </c>
      <c r="H77" s="261" t="str">
        <f>IFERROR(IF(_xlfn.XLOOKUP(B77, 'Asset Class Tables and Dropdown'!$A$3:$A$1001, 'Asset Class Tables and Dropdown'!$E$3:$E$1001)=0, "", _xlfn.XLOOKUP(B77, 'Asset Class Tables and Dropdown'!$A$3:$A$1001, 'Asset Class Tables and Dropdown'!$E$3:$E$1001)),"")</f>
        <v>Aggressive</v>
      </c>
      <c r="I77" s="227">
        <f t="shared" si="10"/>
        <v>0</v>
      </c>
      <c r="K77" s="213" t="str">
        <f t="shared" si="0"/>
        <v>PGIM Jennison MLP</v>
      </c>
      <c r="L77" s="213"/>
      <c r="M77" s="225"/>
      <c r="N77" s="225"/>
      <c r="O77" s="225"/>
      <c r="P77" s="225"/>
      <c r="Q77" s="225"/>
      <c r="R77" s="225"/>
      <c r="S77" s="225"/>
      <c r="T77" s="225"/>
      <c r="U77" s="213"/>
    </row>
    <row r="78" spans="2:21" ht="26" hidden="1" customHeight="1">
      <c r="B78" s="270"/>
      <c r="C78" s="274" t="str">
        <f>IFERROR(IF(_xlfn.XLOOKUP(B78, Table33[Investment Name], Table33[Override Investment Amount]) = 0, IF(_xlfn.XLOOKUP('Investment Proposal'!B78, Table33[Investment Name], Table33[Sum]) = 0, "", _xlfn.XLOOKUP('Investment Proposal'!B78, Table33[Investment Name], Table33[Sum])), _xlfn.XLOOKUP('Investment Proposal'!B78, Table33[Investment Name], Table33[Override Investment Amount])), "")</f>
        <v/>
      </c>
      <c r="D78" s="275">
        <f>IFERROR(_xlfn.XLOOKUP(B78, 'Asset Class Tables and Dropdown'!$A$3:$A$1001, 'Asset Class Tables and Dropdown'!$C$3:$C$1001),"")</f>
        <v>0</v>
      </c>
      <c r="E78" s="276" t="str">
        <f t="shared" si="9"/>
        <v/>
      </c>
      <c r="F78" s="276"/>
      <c r="G78" s="261" t="str">
        <f>IFERROR(IF(_xlfn.XLOOKUP(B78, 'Asset Class Tables and Dropdown'!$A$3:$A$1001, 'Asset Class Tables and Dropdown'!$D$3:$D$1001)=0, "", _xlfn.XLOOKUP(B78, 'Asset Class Tables and Dropdown'!$A$3:$A$1001, 'Asset Class Tables and Dropdown'!$D$3:$D$1001)), "")</f>
        <v/>
      </c>
      <c r="H78" s="261" t="str">
        <f>IFERROR(IF(_xlfn.XLOOKUP(B78, 'Asset Class Tables and Dropdown'!$A$3:$A$1001, 'Asset Class Tables and Dropdown'!$E$3:$E$1001)=0, "", _xlfn.XLOOKUP(B78, 'Asset Class Tables and Dropdown'!$A$3:$A$1001, 'Asset Class Tables and Dropdown'!$E$3:$E$1001)),"")</f>
        <v/>
      </c>
      <c r="I78" s="227">
        <f t="shared" si="10"/>
        <v>0</v>
      </c>
      <c r="K78" s="213" t="str">
        <f t="shared" si="0"/>
        <v/>
      </c>
      <c r="L78" s="213"/>
      <c r="M78" s="225"/>
      <c r="N78" s="225"/>
      <c r="O78" s="225"/>
      <c r="P78" s="225"/>
      <c r="Q78" s="225"/>
      <c r="R78" s="225"/>
      <c r="S78" s="225"/>
      <c r="T78" s="225"/>
      <c r="U78" s="213"/>
    </row>
    <row r="79" spans="2:21" ht="26" hidden="1" customHeight="1">
      <c r="B79" s="270"/>
      <c r="C79" s="274" t="str">
        <f>IFERROR(IF(_xlfn.XLOOKUP(B79, Table33[Investment Name], Table33[Override Investment Amount]) = 0, IF(_xlfn.XLOOKUP('Investment Proposal'!B79, Table33[Investment Name], Table33[Sum]) = 0, "", _xlfn.XLOOKUP('Investment Proposal'!B79, Table33[Investment Name], Table33[Sum])), _xlfn.XLOOKUP('Investment Proposal'!B79, Table33[Investment Name], Table33[Override Investment Amount])), "")</f>
        <v/>
      </c>
      <c r="D79" s="275">
        <f>IFERROR(_xlfn.XLOOKUP(B79, 'Asset Class Tables and Dropdown'!$A$3:$A$1001, 'Asset Class Tables and Dropdown'!$C$3:$C$1001),"")</f>
        <v>0</v>
      </c>
      <c r="E79" s="276" t="str">
        <f t="shared" si="9"/>
        <v/>
      </c>
      <c r="F79" s="276"/>
      <c r="G79" s="261" t="str">
        <f>IFERROR(IF(_xlfn.XLOOKUP(B79, 'Asset Class Tables and Dropdown'!$A$3:$A$1001, 'Asset Class Tables and Dropdown'!$D$3:$D$1001)=0, "", _xlfn.XLOOKUP(B79, 'Asset Class Tables and Dropdown'!$A$3:$A$1001, 'Asset Class Tables and Dropdown'!$D$3:$D$1001)), "")</f>
        <v/>
      </c>
      <c r="H79" s="261" t="str">
        <f>IFERROR(IF(_xlfn.XLOOKUP(B79, 'Asset Class Tables and Dropdown'!$A$3:$A$1001, 'Asset Class Tables and Dropdown'!$E$3:$E$1001)=0, "", _xlfn.XLOOKUP(B79, 'Asset Class Tables and Dropdown'!$A$3:$A$1001, 'Asset Class Tables and Dropdown'!$E$3:$E$1001)),"")</f>
        <v/>
      </c>
      <c r="I79" s="227">
        <f t="shared" si="10"/>
        <v>0</v>
      </c>
      <c r="K79" s="213" t="str">
        <f t="shared" ref="K79:K142" si="11">IF(B79="Total","",IF(B79="","",B79))</f>
        <v/>
      </c>
      <c r="L79" s="213"/>
      <c r="M79" s="225"/>
      <c r="N79" s="225" t="str">
        <f>C79</f>
        <v/>
      </c>
      <c r="O79" s="225"/>
      <c r="P79" s="225"/>
      <c r="Q79" s="225"/>
      <c r="R79" s="225"/>
      <c r="S79" s="225"/>
      <c r="T79" s="225"/>
      <c r="U79" s="213"/>
    </row>
    <row r="80" spans="2:21" ht="26" hidden="1" customHeight="1">
      <c r="B80" s="270"/>
      <c r="C80" s="274" t="str">
        <f>IFERROR(IF(_xlfn.XLOOKUP(B80, Table33[Investment Name], Table33[Override Investment Amount]) = 0, IF(_xlfn.XLOOKUP('Investment Proposal'!B80, Table33[Investment Name], Table33[Sum]) = 0, "", _xlfn.XLOOKUP('Investment Proposal'!B80, Table33[Investment Name], Table33[Sum])), _xlfn.XLOOKUP('Investment Proposal'!B80, Table33[Investment Name], Table33[Override Investment Amount])), "")</f>
        <v/>
      </c>
      <c r="D80" s="275">
        <f>IFERROR(_xlfn.XLOOKUP(B80, 'Asset Class Tables and Dropdown'!$A$3:$A$1001, 'Asset Class Tables and Dropdown'!$C$3:$C$1001),"")</f>
        <v>0</v>
      </c>
      <c r="E80" s="276" t="str">
        <f t="shared" si="9"/>
        <v/>
      </c>
      <c r="F80" s="276"/>
      <c r="G80" s="261" t="str">
        <f>IFERROR(IF(_xlfn.XLOOKUP(B80, 'Asset Class Tables and Dropdown'!$A$3:$A$1001, 'Asset Class Tables and Dropdown'!$D$3:$D$1001)=0, "", _xlfn.XLOOKUP(B80, 'Asset Class Tables and Dropdown'!$A$3:$A$1001, 'Asset Class Tables and Dropdown'!$D$3:$D$1001)), "")</f>
        <v/>
      </c>
      <c r="H80" s="261" t="str">
        <f>IFERROR(IF(_xlfn.XLOOKUP(B80, 'Asset Class Tables and Dropdown'!$A$3:$A$1001, 'Asset Class Tables and Dropdown'!$E$3:$E$1001)=0, "", _xlfn.XLOOKUP(B80, 'Asset Class Tables and Dropdown'!$A$3:$A$1001, 'Asset Class Tables and Dropdown'!$E$3:$E$1001)),"")</f>
        <v/>
      </c>
      <c r="I80" s="227">
        <f t="shared" si="10"/>
        <v>0</v>
      </c>
      <c r="K80" s="213" t="str">
        <f t="shared" si="11"/>
        <v/>
      </c>
      <c r="L80" s="213"/>
      <c r="M80" s="225"/>
      <c r="N80" s="225" t="str">
        <f>C80</f>
        <v/>
      </c>
      <c r="O80" s="225"/>
      <c r="P80" s="225"/>
      <c r="Q80" s="225"/>
      <c r="R80" s="225"/>
      <c r="S80" s="225"/>
      <c r="T80" s="225"/>
      <c r="U80" s="213"/>
    </row>
    <row r="81" spans="2:21" ht="26" hidden="1" customHeight="1">
      <c r="B81" s="270"/>
      <c r="C81" s="274" t="str">
        <f>IFERROR(IF(_xlfn.XLOOKUP(B81, Table33[Investment Name], Table33[Override Investment Amount]) = 0, IF(_xlfn.XLOOKUP('Investment Proposal'!B81, Table33[Investment Name], Table33[Sum]) = 0, "", _xlfn.XLOOKUP('Investment Proposal'!B81, Table33[Investment Name], Table33[Sum])), _xlfn.XLOOKUP('Investment Proposal'!B81, Table33[Investment Name], Table33[Override Investment Amount])), "")</f>
        <v/>
      </c>
      <c r="D81" s="275">
        <f>IFERROR(_xlfn.XLOOKUP(B81, 'Asset Class Tables and Dropdown'!$A$3:$A$1001, 'Asset Class Tables and Dropdown'!$C$3:$C$1001),"")</f>
        <v>0</v>
      </c>
      <c r="E81" s="276" t="str">
        <f t="shared" si="9"/>
        <v/>
      </c>
      <c r="F81" s="276"/>
      <c r="G81" s="261" t="str">
        <f>IFERROR(IF(_xlfn.XLOOKUP(B81, 'Asset Class Tables and Dropdown'!$A$3:$A$1001, 'Asset Class Tables and Dropdown'!$D$3:$D$1001)=0, "", _xlfn.XLOOKUP(B81, 'Asset Class Tables and Dropdown'!$A$3:$A$1001, 'Asset Class Tables and Dropdown'!$D$3:$D$1001)), "")</f>
        <v/>
      </c>
      <c r="H81" s="261" t="str">
        <f>IFERROR(IF(_xlfn.XLOOKUP(B81, 'Asset Class Tables and Dropdown'!$A$3:$A$1001, 'Asset Class Tables and Dropdown'!$E$3:$E$1001)=0, "", _xlfn.XLOOKUP(B81, 'Asset Class Tables and Dropdown'!$A$3:$A$1001, 'Asset Class Tables and Dropdown'!$E$3:$E$1001)),"")</f>
        <v/>
      </c>
      <c r="I81" s="227">
        <f t="shared" si="10"/>
        <v>0</v>
      </c>
      <c r="K81" s="213" t="str">
        <f t="shared" si="11"/>
        <v/>
      </c>
      <c r="L81" s="213"/>
      <c r="M81" s="225"/>
      <c r="N81" s="225"/>
      <c r="O81" s="225"/>
      <c r="P81" s="225"/>
      <c r="Q81" s="225"/>
      <c r="R81" s="225"/>
      <c r="S81" s="225"/>
      <c r="T81" s="225"/>
      <c r="U81" s="213"/>
    </row>
    <row r="82" spans="2:21" ht="26" customHeight="1">
      <c r="B82" s="277" t="s">
        <v>40</v>
      </c>
      <c r="C82" s="278">
        <f>SUM(C72:C81)</f>
        <v>0</v>
      </c>
      <c r="D82" s="278"/>
      <c r="E82" s="278">
        <f>SUM(E72:E81)</f>
        <v>0</v>
      </c>
      <c r="F82" s="279"/>
      <c r="G82" s="263"/>
      <c r="H82" s="263" t="str">
        <f>IFERROR(VLOOKUP(B82,'Asset Class Tables and Dropdown'!$A$4:$E$21,5,FALSE),"")</f>
        <v/>
      </c>
      <c r="I82" s="226">
        <f>IF(SUM(I72:I81) = 0, 0, 1)</f>
        <v>0</v>
      </c>
      <c r="K82" s="213" t="str">
        <f t="shared" si="11"/>
        <v/>
      </c>
      <c r="L82" s="213"/>
      <c r="M82" s="225"/>
      <c r="N82" s="225"/>
      <c r="O82" s="225"/>
      <c r="P82" s="225"/>
      <c r="Q82" s="225"/>
      <c r="R82" s="225"/>
      <c r="S82" s="225"/>
      <c r="T82" s="225"/>
      <c r="U82" s="213"/>
    </row>
    <row r="83" spans="2:21" ht="26" customHeight="1">
      <c r="B83" s="270"/>
      <c r="C83" s="274"/>
      <c r="D83" s="274"/>
      <c r="E83" s="274"/>
      <c r="F83" s="276"/>
      <c r="G83" s="261"/>
      <c r="H83" s="261"/>
      <c r="I83" s="226">
        <f>IF(SUM(I72:I81) = 0, 0, 1)</f>
        <v>0</v>
      </c>
      <c r="K83" s="213" t="str">
        <f t="shared" si="11"/>
        <v/>
      </c>
      <c r="L83" s="213"/>
      <c r="M83" s="225"/>
      <c r="N83" s="225"/>
      <c r="O83" s="225"/>
      <c r="P83" s="225"/>
      <c r="Q83" s="225"/>
      <c r="R83" s="225"/>
      <c r="S83" s="225"/>
      <c r="T83" s="225"/>
      <c r="U83" s="213"/>
    </row>
    <row r="84" spans="2:21" ht="26" customHeight="1">
      <c r="B84" s="271" t="s">
        <v>44</v>
      </c>
      <c r="C84" s="274"/>
      <c r="D84" s="275"/>
      <c r="E84" s="276" t="str">
        <f>IFERROR(IF(C84*D84&gt;0,C84*D84,""),"")</f>
        <v/>
      </c>
      <c r="F84" s="276"/>
      <c r="G84" s="261"/>
      <c r="H84" s="261"/>
      <c r="I84" s="226">
        <f>IF(SUM(I85:I103) = 0, 0, 1)</f>
        <v>0</v>
      </c>
      <c r="K84" s="213" t="str">
        <f t="shared" si="11"/>
        <v>ABSOLUTE RETURN</v>
      </c>
      <c r="L84" s="213"/>
      <c r="M84" s="225"/>
      <c r="N84" s="225"/>
      <c r="O84" s="225"/>
      <c r="P84" s="225"/>
      <c r="Q84" s="225"/>
      <c r="R84" s="225"/>
      <c r="S84" s="225"/>
      <c r="T84" s="225"/>
      <c r="U84" s="213"/>
    </row>
    <row r="85" spans="2:21" ht="26" hidden="1" customHeight="1">
      <c r="B85" s="270" t="s">
        <v>444</v>
      </c>
      <c r="C85" s="274" t="str">
        <f>IFERROR(IF(_xlfn.XLOOKUP(B85, Table33[Investment Name], Table33[Override Investment Amount]) = 0, IF(_xlfn.XLOOKUP('Investment Proposal'!B85, Table33[Investment Name], Table33[Sum]) = 0, "", _xlfn.XLOOKUP('Investment Proposal'!B85, Table33[Investment Name], Table33[Sum])), _xlfn.XLOOKUP('Investment Proposal'!B85, Table33[Investment Name], Table33[Override Investment Amount])), "")</f>
        <v/>
      </c>
      <c r="D85" s="275">
        <f>IFERROR(_xlfn.XLOOKUP(B85, 'Asset Class Tables and Dropdown'!$A$3:$A$1001, 'Asset Class Tables and Dropdown'!$C$3:$C$1001),"")</f>
        <v>0</v>
      </c>
      <c r="E85" s="276" t="str">
        <f>IFERROR(IF(C85*D85&gt;0,C85*D85,""),"")</f>
        <v/>
      </c>
      <c r="F85" s="276"/>
      <c r="G85" s="261" t="str">
        <f>IFERROR(IF(_xlfn.XLOOKUP(B85, 'Asset Class Tables and Dropdown'!$A$3:$A$1001, 'Asset Class Tables and Dropdown'!$D$3:$D$1001)=0, "", _xlfn.XLOOKUP(B85, 'Asset Class Tables and Dropdown'!$A$3:$A$1001, 'Asset Class Tables and Dropdown'!$D$3:$D$1001)), "")</f>
        <v>Low/Mid</v>
      </c>
      <c r="H85" s="261" t="str">
        <f>IFERROR(IF(_xlfn.XLOOKUP(B85, 'Asset Class Tables and Dropdown'!$A$3:$A$1001, 'Asset Class Tables and Dropdown'!$E$3:$E$1001)=0, "", _xlfn.XLOOKUP(B85, 'Asset Class Tables and Dropdown'!$A$3:$A$1001, 'Asset Class Tables and Dropdown'!$E$3:$E$1001)),"")</f>
        <v>Moderate</v>
      </c>
      <c r="I85" s="227">
        <f t="shared" ref="I85:I103" si="12">IF(C85="", 0, 1)</f>
        <v>0</v>
      </c>
      <c r="K85" s="213" t="str">
        <f t="shared" si="11"/>
        <v>Allianz Index Advantage</v>
      </c>
      <c r="L85" s="213"/>
      <c r="M85" s="225"/>
      <c r="N85" s="225"/>
      <c r="O85" s="225"/>
      <c r="P85" s="225"/>
      <c r="Q85" s="225"/>
      <c r="R85" s="225"/>
      <c r="S85" s="225"/>
      <c r="T85" s="225"/>
      <c r="U85" s="213"/>
    </row>
    <row r="86" spans="2:21" ht="26" hidden="1" customHeight="1">
      <c r="B86" s="270" t="s">
        <v>445</v>
      </c>
      <c r="C86" s="274" t="str">
        <f>IFERROR(IF(_xlfn.XLOOKUP(B86, Table33[Investment Name], Table33[Override Investment Amount]) = 0, IF(_xlfn.XLOOKUP('Investment Proposal'!B86, Table33[Investment Name], Table33[Sum]) = 0, "", _xlfn.XLOOKUP('Investment Proposal'!B86, Table33[Investment Name], Table33[Sum])), _xlfn.XLOOKUP('Investment Proposal'!B86, Table33[Investment Name], Table33[Override Investment Amount])), "")</f>
        <v/>
      </c>
      <c r="D86" s="275">
        <f>IFERROR(_xlfn.XLOOKUP(B86, 'Asset Class Tables and Dropdown'!$A$3:$A$1001, 'Asset Class Tables and Dropdown'!$C$3:$C$1001),"")</f>
        <v>6.1499999999999999E-2</v>
      </c>
      <c r="E86" s="276" t="str">
        <f>IFERROR(IF(C86*D86&gt;0,C86*D86,""),"")</f>
        <v/>
      </c>
      <c r="F86" s="276"/>
      <c r="G86" s="261" t="str">
        <f>IFERROR(IF(_xlfn.XLOOKUP(B86, 'Asset Class Tables and Dropdown'!$A$3:$A$1001, 'Asset Class Tables and Dropdown'!$D$3:$D$1001)=0, "", _xlfn.XLOOKUP(B86, 'Asset Class Tables and Dropdown'!$A$3:$A$1001, 'Asset Class Tables and Dropdown'!$D$3:$D$1001)), "")</f>
        <v>Low</v>
      </c>
      <c r="H86" s="261" t="str">
        <f>IFERROR(IF(_xlfn.XLOOKUP(B86, 'Asset Class Tables and Dropdown'!$A$3:$A$1001, 'Asset Class Tables and Dropdown'!$E$3:$E$1001)=0, "", _xlfn.XLOOKUP(B86, 'Asset Class Tables and Dropdown'!$A$3:$A$1001, 'Asset Class Tables and Dropdown'!$E$3:$E$1001)),"")</f>
        <v>Conservative/Moderate</v>
      </c>
      <c r="I86" s="227">
        <f t="shared" si="12"/>
        <v>0</v>
      </c>
      <c r="K86" s="213" t="str">
        <f t="shared" si="11"/>
        <v>Bluerock Preferred</v>
      </c>
      <c r="L86" s="213"/>
      <c r="M86" s="225"/>
      <c r="N86" s="225"/>
      <c r="O86" s="225"/>
      <c r="P86" s="225"/>
      <c r="Q86" s="225"/>
      <c r="R86" s="225"/>
      <c r="S86" s="225"/>
      <c r="T86" s="225"/>
      <c r="U86" s="213"/>
    </row>
    <row r="87" spans="2:21" ht="26" hidden="1" customHeight="1">
      <c r="B87" s="270" t="s">
        <v>338</v>
      </c>
      <c r="C87" s="274" t="str">
        <f>IFERROR(IF(_xlfn.XLOOKUP(B87, Table33[Investment Name], Table33[Override Investment Amount]) = 0, IF(_xlfn.XLOOKUP('Investment Proposal'!B87, Table33[Investment Name], Table33[Sum]) = 0, "", _xlfn.XLOOKUP('Investment Proposal'!B87, Table33[Investment Name], Table33[Sum])), _xlfn.XLOOKUP('Investment Proposal'!B87, Table33[Investment Name], Table33[Override Investment Amount])), "")</f>
        <v/>
      </c>
      <c r="D87" s="275">
        <f>IFERROR(_xlfn.XLOOKUP(B87, 'Asset Class Tables and Dropdown'!$A$3:$A$1001, 'Asset Class Tables and Dropdown'!$C$3:$C$1001),"")</f>
        <v>7.9000000000000008E-3</v>
      </c>
      <c r="E87" s="276" t="str">
        <f>IFERROR(IF(C87*D87&gt;0,C87*D87,""),"")</f>
        <v/>
      </c>
      <c r="F87" s="276"/>
      <c r="G87" s="261" t="str">
        <f>IFERROR(IF(_xlfn.XLOOKUP(B87, 'Asset Class Tables and Dropdown'!$A$3:$A$1001, 'Asset Class Tables and Dropdown'!$D$3:$D$1001)=0, "", _xlfn.XLOOKUP(B87, 'Asset Class Tables and Dropdown'!$A$3:$A$1001, 'Asset Class Tables and Dropdown'!$D$3:$D$1001)), "")</f>
        <v>High</v>
      </c>
      <c r="H87" s="262" t="str">
        <f>IFERROR(IF(_xlfn.XLOOKUP(B87, 'Asset Class Tables and Dropdown'!$A$3:$A$1001, 'Asset Class Tables and Dropdown'!$E$3:$E$1001)=0, "", _xlfn.XLOOKUP(B87, 'Asset Class Tables and Dropdown'!$A$3:$A$1001, 'Asset Class Tables and Dropdown'!$E$3:$E$1001)),"")</f>
        <v>Conservative/Moderate</v>
      </c>
      <c r="I87" s="227">
        <f t="shared" si="12"/>
        <v>0</v>
      </c>
      <c r="K87" s="213" t="str">
        <f t="shared" si="11"/>
        <v>Calamos Hedged Equity</v>
      </c>
      <c r="L87" s="213"/>
      <c r="M87" s="225"/>
      <c r="N87" s="225"/>
      <c r="O87" s="225"/>
      <c r="P87" s="225"/>
      <c r="Q87" s="225"/>
      <c r="R87" s="225"/>
      <c r="S87" s="225"/>
      <c r="T87" s="225"/>
      <c r="U87" s="213"/>
    </row>
    <row r="88" spans="2:21" ht="26" hidden="1" customHeight="1">
      <c r="B88" s="270" t="s">
        <v>446</v>
      </c>
      <c r="C88" s="274" t="str">
        <f>IFERROR(IF(_xlfn.XLOOKUP(B88, Table33[Investment Name], Table33[Override Investment Amount]) = 0, IF(_xlfn.XLOOKUP('Investment Proposal'!B88, Table33[Investment Name], Table33[Sum]) = 0, "", _xlfn.XLOOKUP('Investment Proposal'!B88, Table33[Investment Name], Table33[Sum])), _xlfn.XLOOKUP('Investment Proposal'!B88, Table33[Investment Name], Table33[Override Investment Amount])), "")</f>
        <v/>
      </c>
      <c r="D88" s="275">
        <f>IFERROR(_xlfn.XLOOKUP(B88, 'Asset Class Tables and Dropdown'!$A$3:$A$1001, 'Asset Class Tables and Dropdown'!$C$3:$C$1001),"")</f>
        <v>0</v>
      </c>
      <c r="E88" s="276" t="str">
        <f t="shared" ref="E88:E103" si="13">IFERROR(IF(C88*D88&gt;0,C88*D88,""),"")</f>
        <v/>
      </c>
      <c r="F88" s="276"/>
      <c r="G88" s="261" t="str">
        <f>IFERROR(IF(_xlfn.XLOOKUP(B88, 'Asset Class Tables and Dropdown'!$A$3:$A$1001, 'Asset Class Tables and Dropdown'!$D$3:$D$1001)=0, "", _xlfn.XLOOKUP(B88, 'Asset Class Tables and Dropdown'!$A$3:$A$1001, 'Asset Class Tables and Dropdown'!$D$3:$D$1001)), "")</f>
        <v>High</v>
      </c>
      <c r="H88" s="262" t="str">
        <f>IFERROR(IF(_xlfn.XLOOKUP(B88, 'Asset Class Tables and Dropdown'!$A$3:$A$1001, 'Asset Class Tables and Dropdown'!$E$3:$E$1001)=0, "", _xlfn.XLOOKUP(B88, 'Asset Class Tables and Dropdown'!$A$3:$A$1001, 'Asset Class Tables and Dropdown'!$E$3:$E$1001)),"")</f>
        <v>Moderate</v>
      </c>
      <c r="I88" s="227">
        <f t="shared" si="12"/>
        <v>0</v>
      </c>
      <c r="K88" s="213" t="str">
        <f t="shared" si="11"/>
        <v>First Trust Target Outcome ETFs - Buffered</v>
      </c>
      <c r="L88" s="213"/>
      <c r="M88" s="225"/>
      <c r="N88" s="225"/>
      <c r="O88" s="225"/>
      <c r="P88" s="225"/>
      <c r="Q88" s="225"/>
      <c r="R88" s="225"/>
      <c r="S88" s="225"/>
      <c r="T88" s="225"/>
      <c r="U88" s="213"/>
    </row>
    <row r="89" spans="2:21" ht="26" hidden="1" customHeight="1">
      <c r="B89" s="270" t="s">
        <v>447</v>
      </c>
      <c r="C89" s="274" t="str">
        <f>IFERROR(IF(_xlfn.XLOOKUP(B89, Table33[Investment Name], Table33[Override Investment Amount]) = 0, IF(_xlfn.XLOOKUP('Investment Proposal'!B89, Table33[Investment Name], Table33[Sum]) = 0, "", _xlfn.XLOOKUP('Investment Proposal'!B89, Table33[Investment Name], Table33[Sum])), _xlfn.XLOOKUP('Investment Proposal'!B89, Table33[Investment Name], Table33[Override Investment Amount])), "")</f>
        <v/>
      </c>
      <c r="D89" s="275">
        <f>IFERROR(_xlfn.XLOOKUP(B89, 'Asset Class Tables and Dropdown'!$A$3:$A$1001, 'Asset Class Tables and Dropdown'!$C$3:$C$1001),"")</f>
        <v>0</v>
      </c>
      <c r="E89" s="276" t="str">
        <f t="shared" si="13"/>
        <v/>
      </c>
      <c r="F89" s="276"/>
      <c r="G89" s="261" t="str">
        <f>IFERROR(IF(_xlfn.XLOOKUP(B89, 'Asset Class Tables and Dropdown'!$A$3:$A$1001, 'Asset Class Tables and Dropdown'!$D$3:$D$1001)=0, "", _xlfn.XLOOKUP(B89, 'Asset Class Tables and Dropdown'!$A$3:$A$1001, 'Asset Class Tables and Dropdown'!$D$3:$D$1001)), "")</f>
        <v>High</v>
      </c>
      <c r="H89" s="262" t="str">
        <f>IFERROR(IF(_xlfn.XLOOKUP(B89, 'Asset Class Tables and Dropdown'!$A$3:$A$1001, 'Asset Class Tables and Dropdown'!$E$3:$E$1001)=0, "", _xlfn.XLOOKUP(B89, 'Asset Class Tables and Dropdown'!$A$3:$A$1001, 'Asset Class Tables and Dropdown'!$E$3:$E$1001)),"")</f>
        <v>Conservative/Moderate</v>
      </c>
      <c r="I89" s="227">
        <f t="shared" si="12"/>
        <v>0</v>
      </c>
      <c r="K89" s="213" t="str">
        <f t="shared" si="11"/>
        <v>First Trust Target Outcome ETFs - Deep Buffered </v>
      </c>
      <c r="L89" s="213"/>
      <c r="M89" s="225"/>
      <c r="N89" s="225"/>
      <c r="O89" s="225"/>
      <c r="P89" s="225"/>
      <c r="Q89" s="225"/>
      <c r="R89" s="225"/>
      <c r="S89" s="225"/>
      <c r="T89" s="225"/>
      <c r="U89" s="213"/>
    </row>
    <row r="90" spans="2:21" ht="26" hidden="1" customHeight="1">
      <c r="B90" s="270" t="s">
        <v>448</v>
      </c>
      <c r="C90" s="274" t="str">
        <f>IFERROR(IF(_xlfn.XLOOKUP(B90, Table33[Investment Name], Table33[Override Investment Amount]) = 0, IF(_xlfn.XLOOKUP('Investment Proposal'!B90, Table33[Investment Name], Table33[Sum]) = 0, "", _xlfn.XLOOKUP('Investment Proposal'!B90, Table33[Investment Name], Table33[Sum])), _xlfn.XLOOKUP('Investment Proposal'!B90, Table33[Investment Name], Table33[Override Investment Amount])), "")</f>
        <v/>
      </c>
      <c r="D90" s="275">
        <f>IFERROR(_xlfn.XLOOKUP(B90, 'Asset Class Tables and Dropdown'!$A$3:$A$1001, 'Asset Class Tables and Dropdown'!$C$3:$C$1001),"")</f>
        <v>0</v>
      </c>
      <c r="E90" s="276" t="str">
        <f t="shared" si="13"/>
        <v/>
      </c>
      <c r="F90" s="276"/>
      <c r="G90" s="261" t="str">
        <f>IFERROR(IF(_xlfn.XLOOKUP(B90, 'Asset Class Tables and Dropdown'!$A$3:$A$1001, 'Asset Class Tables and Dropdown'!$D$3:$D$1001)=0, "", _xlfn.XLOOKUP(B90, 'Asset Class Tables and Dropdown'!$A$3:$A$1001, 'Asset Class Tables and Dropdown'!$D$3:$D$1001)), "")</f>
        <v>Low/Mid</v>
      </c>
      <c r="H90" s="262" t="str">
        <f>IFERROR(IF(_xlfn.XLOOKUP(B90, 'Asset Class Tables and Dropdown'!$A$3:$A$1001, 'Asset Class Tables and Dropdown'!$E$3:$E$1001)=0, "", _xlfn.XLOOKUP(B90, 'Asset Class Tables and Dropdown'!$A$3:$A$1001, 'Asset Class Tables and Dropdown'!$E$3:$E$1001)),"")</f>
        <v>Conservative</v>
      </c>
      <c r="I90" s="227">
        <f t="shared" si="12"/>
        <v>0</v>
      </c>
      <c r="K90" s="213" t="str">
        <f t="shared" si="11"/>
        <v>Jackson National FIA</v>
      </c>
      <c r="L90" s="213"/>
      <c r="M90" s="225"/>
      <c r="N90" s="225"/>
      <c r="O90" s="225"/>
      <c r="P90" s="225"/>
      <c r="Q90" s="225"/>
      <c r="R90" s="225"/>
      <c r="S90" s="225"/>
      <c r="T90" s="225"/>
      <c r="U90" s="213"/>
    </row>
    <row r="91" spans="2:21" ht="26" hidden="1" customHeight="1">
      <c r="B91" s="270" t="s">
        <v>450</v>
      </c>
      <c r="C91" s="274" t="str">
        <f>IFERROR(IF(_xlfn.XLOOKUP(B91, Table33[Investment Name], Table33[Override Investment Amount]) = 0, IF(_xlfn.XLOOKUP('Investment Proposal'!B91, Table33[Investment Name], Table33[Sum]) = 0, "", _xlfn.XLOOKUP('Investment Proposal'!B91, Table33[Investment Name], Table33[Sum])), _xlfn.XLOOKUP('Investment Proposal'!B91, Table33[Investment Name], Table33[Override Investment Amount])), "")</f>
        <v/>
      </c>
      <c r="D91" s="275">
        <f>IFERROR(_xlfn.XLOOKUP(B91, 'Asset Class Tables and Dropdown'!$A$3:$A$1001, 'Asset Class Tables and Dropdown'!$C$3:$C$1001),"")</f>
        <v>0.04</v>
      </c>
      <c r="E91" s="276" t="str">
        <f t="shared" si="13"/>
        <v/>
      </c>
      <c r="F91" s="276"/>
      <c r="G91" s="261" t="str">
        <f>IFERROR(IF(_xlfn.XLOOKUP(B91, 'Asset Class Tables and Dropdown'!$A$3:$A$1001, 'Asset Class Tables and Dropdown'!$D$3:$D$1001)=0, "", _xlfn.XLOOKUP(B91, 'Asset Class Tables and Dropdown'!$A$3:$A$1001, 'Asset Class Tables and Dropdown'!$D$3:$D$1001)), "")</f>
        <v>Low/Mid</v>
      </c>
      <c r="H91" s="262" t="str">
        <f>IFERROR(IF(_xlfn.XLOOKUP(B91, 'Asset Class Tables and Dropdown'!$A$3:$A$1001, 'Asset Class Tables and Dropdown'!$E$3:$E$1001)=0, "", _xlfn.XLOOKUP(B91, 'Asset Class Tables and Dropdown'!$A$3:$A$1001, 'Asset Class Tables and Dropdown'!$E$3:$E$1001)),"")</f>
        <v>Moderate</v>
      </c>
      <c r="I91" s="227">
        <f t="shared" si="12"/>
        <v>0</v>
      </c>
      <c r="K91" s="213" t="str">
        <f t="shared" si="11"/>
        <v>Jackson National Perspective II</v>
      </c>
      <c r="L91" s="213"/>
      <c r="M91" s="225"/>
      <c r="N91" s="225"/>
      <c r="O91" s="225"/>
      <c r="P91" s="225"/>
      <c r="Q91" s="225"/>
      <c r="R91" s="225"/>
      <c r="S91" s="225"/>
      <c r="T91" s="225"/>
      <c r="U91" s="213"/>
    </row>
    <row r="92" spans="2:21" ht="26" customHeight="1">
      <c r="B92" s="270" t="s">
        <v>122</v>
      </c>
      <c r="C92" s="274" t="str">
        <f>IFERROR(IF(_xlfn.XLOOKUP(B92, Table33[Investment Name], Table33[Override Investment Amount]) = 0, IF(_xlfn.XLOOKUP('Investment Proposal'!B92, Table33[Investment Name], Table33[Sum]) = 0, "", _xlfn.XLOOKUP('Investment Proposal'!B92, Table33[Investment Name], Table33[Sum])), _xlfn.XLOOKUP('Investment Proposal'!B92, Table33[Investment Name], Table33[Override Investment Amount])), "")</f>
        <v/>
      </c>
      <c r="D92" s="275">
        <f>IFERROR(_xlfn.XLOOKUP(B92, 'Asset Class Tables and Dropdown'!$A$3:$A$1001, 'Asset Class Tables and Dropdown'!$C$3:$C$1001),"")</f>
        <v>0</v>
      </c>
      <c r="E92" s="276" t="str">
        <f t="shared" si="13"/>
        <v/>
      </c>
      <c r="F92" s="276"/>
      <c r="G92" s="261" t="str">
        <f>IFERROR(IF(_xlfn.XLOOKUP(B92, 'Asset Class Tables and Dropdown'!$A$3:$A$1001, 'Asset Class Tables and Dropdown'!$D$3:$D$1001)=0, "", _xlfn.XLOOKUP(B92, 'Asset Class Tables and Dropdown'!$A$3:$A$1001, 'Asset Class Tables and Dropdown'!$D$3:$D$1001)), "")</f>
        <v>High</v>
      </c>
      <c r="H92" s="262" t="str">
        <f>IFERROR(IF(_xlfn.XLOOKUP(B92, 'Asset Class Tables and Dropdown'!$A$3:$A$1001, 'Asset Class Tables and Dropdown'!$E$3:$E$1001)=0, "", _xlfn.XLOOKUP(B92, 'Asset Class Tables and Dropdown'!$A$3:$A$1001, 'Asset Class Tables and Dropdown'!$E$3:$E$1001)),"")</f>
        <v>Conservative/Moderate</v>
      </c>
      <c r="I92" s="227">
        <f t="shared" si="12"/>
        <v>0</v>
      </c>
      <c r="K92" s="213" t="str">
        <f t="shared" si="11"/>
        <v>JPMorgan Hedged Equity</v>
      </c>
      <c r="L92" s="213"/>
      <c r="M92" s="225"/>
      <c r="N92" s="225"/>
      <c r="O92" s="225"/>
      <c r="P92" s="225"/>
      <c r="Q92" s="225"/>
      <c r="R92" s="225"/>
      <c r="S92" s="225"/>
      <c r="T92" s="225"/>
      <c r="U92" s="213"/>
    </row>
    <row r="93" spans="2:21" ht="26" hidden="1" customHeight="1">
      <c r="B93" s="270" t="s">
        <v>385</v>
      </c>
      <c r="C93" s="274" t="str">
        <f>IFERROR(IF(_xlfn.XLOOKUP(B93, Table33[Investment Name], Table33[Override Investment Amount]) = 0, IF(_xlfn.XLOOKUP('Investment Proposal'!B93, Table33[Investment Name], Table33[Sum]) = 0, "", _xlfn.XLOOKUP('Investment Proposal'!B93, Table33[Investment Name], Table33[Sum])), _xlfn.XLOOKUP('Investment Proposal'!B93, Table33[Investment Name], Table33[Override Investment Amount])), "")</f>
        <v/>
      </c>
      <c r="D93" s="275">
        <f>IFERROR(_xlfn.XLOOKUP(B93, 'Asset Class Tables and Dropdown'!$A$3:$A$1001, 'Asset Class Tables and Dropdown'!$C$3:$C$1001),"")</f>
        <v>0.05</v>
      </c>
      <c r="E93" s="276" t="str">
        <f t="shared" si="13"/>
        <v/>
      </c>
      <c r="F93" s="276"/>
      <c r="G93" s="261" t="str">
        <f>IFERROR(IF(_xlfn.XLOOKUP(B93, 'Asset Class Tables and Dropdown'!$A$3:$A$1001, 'Asset Class Tables and Dropdown'!$D$3:$D$1001)=0, "", _xlfn.XLOOKUP(B93, 'Asset Class Tables and Dropdown'!$A$3:$A$1001, 'Asset Class Tables and Dropdown'!$D$3:$D$1001)), "")</f>
        <v>High</v>
      </c>
      <c r="H93" s="262" t="str">
        <f>IFERROR(IF(_xlfn.XLOOKUP(B93, 'Asset Class Tables and Dropdown'!$A$3:$A$1001, 'Asset Class Tables and Dropdown'!$E$3:$E$1001)=0, "", _xlfn.XLOOKUP(B93, 'Asset Class Tables and Dropdown'!$A$3:$A$1001, 'Asset Class Tables and Dropdown'!$E$3:$E$1001)),"")</f>
        <v>Conservative/Moderate</v>
      </c>
      <c r="I93" s="227">
        <f t="shared" si="12"/>
        <v>0</v>
      </c>
      <c r="K93" s="213" t="str">
        <f t="shared" si="11"/>
        <v>NexPoint Merger Arbitrage Fund</v>
      </c>
      <c r="L93" s="213"/>
      <c r="M93" s="225"/>
      <c r="N93" s="225"/>
      <c r="O93" s="225"/>
      <c r="P93" s="225"/>
      <c r="Q93" s="225"/>
      <c r="R93" s="225"/>
      <c r="S93" s="225"/>
      <c r="T93" s="225"/>
      <c r="U93" s="213"/>
    </row>
    <row r="94" spans="2:21" ht="26" hidden="1" customHeight="1">
      <c r="B94" s="270" t="s">
        <v>452</v>
      </c>
      <c r="C94" s="274" t="str">
        <f>IFERROR(IF(_xlfn.XLOOKUP(B94, Table33[Investment Name], Table33[Override Investment Amount]) = 0, IF(_xlfn.XLOOKUP('Investment Proposal'!B94, Table33[Investment Name], Table33[Sum]) = 0, "", _xlfn.XLOOKUP('Investment Proposal'!B94, Table33[Investment Name], Table33[Sum])), _xlfn.XLOOKUP('Investment Proposal'!B94, Table33[Investment Name], Table33[Override Investment Amount])), "")</f>
        <v/>
      </c>
      <c r="D94" s="275">
        <f>IFERROR(_xlfn.XLOOKUP(B94, 'Asset Class Tables and Dropdown'!$A$3:$A$1001, 'Asset Class Tables and Dropdown'!$C$3:$C$1001),"")</f>
        <v>0</v>
      </c>
      <c r="E94" s="276" t="str">
        <f t="shared" si="13"/>
        <v/>
      </c>
      <c r="F94" s="276"/>
      <c r="G94" s="261" t="str">
        <f>IFERROR(IF(_xlfn.XLOOKUP(B94, 'Asset Class Tables and Dropdown'!$A$3:$A$1001, 'Asset Class Tables and Dropdown'!$D$3:$D$1001)=0, "", _xlfn.XLOOKUP(B94, 'Asset Class Tables and Dropdown'!$A$3:$A$1001, 'Asset Class Tables and Dropdown'!$D$3:$D$1001)), "")</f>
        <v>Mid</v>
      </c>
      <c r="H94" s="262" t="str">
        <f>IFERROR(IF(_xlfn.XLOOKUP(B94, 'Asset Class Tables and Dropdown'!$A$3:$A$1001, 'Asset Class Tables and Dropdown'!$E$3:$E$1001)=0, "", _xlfn.XLOOKUP(B94, 'Asset Class Tables and Dropdown'!$A$3:$A$1001, 'Asset Class Tables and Dropdown'!$E$3:$E$1001)),"")</f>
        <v>Conservative</v>
      </c>
      <c r="I94" s="227">
        <f t="shared" si="12"/>
        <v>0</v>
      </c>
      <c r="K94" s="213" t="str">
        <f t="shared" si="11"/>
        <v>S&amp;P500 Market Linked CD</v>
      </c>
      <c r="L94" s="213"/>
      <c r="M94" s="225"/>
      <c r="N94" s="225"/>
      <c r="O94" s="225"/>
      <c r="P94" s="225"/>
      <c r="Q94" s="225"/>
      <c r="R94" s="225"/>
      <c r="S94" s="225"/>
      <c r="T94" s="225"/>
      <c r="U94" s="213"/>
    </row>
    <row r="95" spans="2:21" ht="26" customHeight="1">
      <c r="B95" s="270" t="s">
        <v>123</v>
      </c>
      <c r="C95" s="274" t="str">
        <f>IFERROR(IF(_xlfn.XLOOKUP(B95, Table33[Investment Name], Table33[Override Investment Amount]) = 0, IF(_xlfn.XLOOKUP('Investment Proposal'!B95, Table33[Investment Name], Table33[Sum]) = 0, "", _xlfn.XLOOKUP('Investment Proposal'!B95, Table33[Investment Name], Table33[Sum])), _xlfn.XLOOKUP('Investment Proposal'!B95, Table33[Investment Name], Table33[Override Investment Amount])), "")</f>
        <v/>
      </c>
      <c r="D95" s="275">
        <f>IFERROR(_xlfn.XLOOKUP(B95, 'Asset Class Tables and Dropdown'!$A$3:$A$1001, 'Asset Class Tables and Dropdown'!$C$3:$C$1001),"")</f>
        <v>0</v>
      </c>
      <c r="E95" s="276" t="str">
        <f t="shared" si="13"/>
        <v/>
      </c>
      <c r="F95" s="276"/>
      <c r="G95" s="261" t="str">
        <f>IFERROR(IF(_xlfn.XLOOKUP(B95, 'Asset Class Tables and Dropdown'!$A$3:$A$1001, 'Asset Class Tables and Dropdown'!$D$3:$D$1001)=0, "", _xlfn.XLOOKUP(B95, 'Asset Class Tables and Dropdown'!$A$3:$A$1001, 'Asset Class Tables and Dropdown'!$D$3:$D$1001)), "")</f>
        <v>High</v>
      </c>
      <c r="H95" s="262" t="str">
        <f>IFERROR(IF(_xlfn.XLOOKUP(B95, 'Asset Class Tables and Dropdown'!$A$3:$A$1001, 'Asset Class Tables and Dropdown'!$E$3:$E$1001)=0, "", _xlfn.XLOOKUP(B95, 'Asset Class Tables and Dropdown'!$A$3:$A$1001, 'Asset Class Tables and Dropdown'!$E$3:$E$1001)),"")</f>
        <v>Moderate/Aggressive</v>
      </c>
      <c r="I95" s="227">
        <f t="shared" si="12"/>
        <v>0</v>
      </c>
      <c r="K95" s="213" t="str">
        <f t="shared" si="11"/>
        <v>Swan Defined Risk Growth Fund</v>
      </c>
      <c r="L95" s="213"/>
      <c r="M95" s="225"/>
      <c r="N95" s="225"/>
      <c r="O95" s="225"/>
      <c r="P95" s="225"/>
      <c r="Q95" s="225"/>
      <c r="R95" s="225"/>
      <c r="S95" s="225"/>
      <c r="T95" s="225"/>
      <c r="U95" s="213"/>
    </row>
    <row r="96" spans="2:21" ht="26" hidden="1" customHeight="1">
      <c r="B96" s="270"/>
      <c r="C96" s="274" t="str">
        <f>IFERROR(IF(_xlfn.XLOOKUP(B96, Table33[Investment Name], Table33[Override Investment Amount]) = 0, IF(_xlfn.XLOOKUP('Investment Proposal'!B96, Table33[Investment Name], Table33[Sum]) = 0, "", _xlfn.XLOOKUP('Investment Proposal'!B96, Table33[Investment Name], Table33[Sum])), _xlfn.XLOOKUP('Investment Proposal'!B96, Table33[Investment Name], Table33[Override Investment Amount])), "")</f>
        <v/>
      </c>
      <c r="D96" s="275">
        <f>IFERROR(_xlfn.XLOOKUP(B96, 'Asset Class Tables and Dropdown'!$A$3:$A$1001, 'Asset Class Tables and Dropdown'!$C$3:$C$1001),"")</f>
        <v>0</v>
      </c>
      <c r="E96" s="276" t="str">
        <f t="shared" si="13"/>
        <v/>
      </c>
      <c r="F96" s="276"/>
      <c r="G96" s="261" t="str">
        <f>IFERROR(IF(_xlfn.XLOOKUP(B96, 'Asset Class Tables and Dropdown'!$A$3:$A$1001, 'Asset Class Tables and Dropdown'!$D$3:$D$1001)=0, "", _xlfn.XLOOKUP(B96, 'Asset Class Tables and Dropdown'!$A$3:$A$1001, 'Asset Class Tables and Dropdown'!$D$3:$D$1001)), "")</f>
        <v/>
      </c>
      <c r="H96" s="262" t="str">
        <f>IFERROR(IF(_xlfn.XLOOKUP(B96, 'Asset Class Tables and Dropdown'!$A$3:$A$1001, 'Asset Class Tables and Dropdown'!$E$3:$E$1001)=0, "", _xlfn.XLOOKUP(B96, 'Asset Class Tables and Dropdown'!$A$3:$A$1001, 'Asset Class Tables and Dropdown'!$E$3:$E$1001)),"")</f>
        <v/>
      </c>
      <c r="I96" s="227">
        <f t="shared" si="12"/>
        <v>0</v>
      </c>
      <c r="K96" s="213" t="str">
        <f t="shared" si="11"/>
        <v/>
      </c>
      <c r="L96" s="213"/>
      <c r="M96" s="225"/>
      <c r="N96" s="225"/>
      <c r="O96" s="225"/>
      <c r="P96" s="225"/>
      <c r="Q96" s="225"/>
      <c r="R96" s="225"/>
      <c r="S96" s="225"/>
      <c r="T96" s="225"/>
      <c r="U96" s="213"/>
    </row>
    <row r="97" spans="2:21" ht="26" hidden="1" customHeight="1">
      <c r="B97" s="270"/>
      <c r="C97" s="274" t="str">
        <f>IFERROR(IF(_xlfn.XLOOKUP(B97, Table33[Investment Name], Table33[Override Investment Amount]) = 0, IF(_xlfn.XLOOKUP('Investment Proposal'!B97, Table33[Investment Name], Table33[Sum]) = 0, "", _xlfn.XLOOKUP('Investment Proposal'!B97, Table33[Investment Name], Table33[Sum])), _xlfn.XLOOKUP('Investment Proposal'!B97, Table33[Investment Name], Table33[Override Investment Amount])), "")</f>
        <v/>
      </c>
      <c r="D97" s="275">
        <f>IFERROR(_xlfn.XLOOKUP(B97, 'Asset Class Tables and Dropdown'!$A$3:$A$1001, 'Asset Class Tables and Dropdown'!$C$3:$C$1001),"")</f>
        <v>0</v>
      </c>
      <c r="E97" s="276" t="str">
        <f t="shared" si="13"/>
        <v/>
      </c>
      <c r="F97" s="276"/>
      <c r="G97" s="261" t="str">
        <f>IFERROR(IF(_xlfn.XLOOKUP(B97, 'Asset Class Tables and Dropdown'!$A$3:$A$1001, 'Asset Class Tables and Dropdown'!$D$3:$D$1001)=0, "", _xlfn.XLOOKUP(B97, 'Asset Class Tables and Dropdown'!$A$3:$A$1001, 'Asset Class Tables and Dropdown'!$D$3:$D$1001)), "")</f>
        <v/>
      </c>
      <c r="H97" s="262" t="str">
        <f>IFERROR(IF(_xlfn.XLOOKUP(B97, 'Asset Class Tables and Dropdown'!$A$3:$A$1001, 'Asset Class Tables and Dropdown'!$E$3:$E$1001)=0, "", _xlfn.XLOOKUP(B97, 'Asset Class Tables and Dropdown'!$A$3:$A$1001, 'Asset Class Tables and Dropdown'!$E$3:$E$1001)),"")</f>
        <v/>
      </c>
      <c r="I97" s="227">
        <f t="shared" si="12"/>
        <v>0</v>
      </c>
      <c r="K97" s="213" t="str">
        <f t="shared" si="11"/>
        <v/>
      </c>
      <c r="L97" s="213"/>
      <c r="M97" s="225"/>
      <c r="N97" s="225"/>
      <c r="O97" s="225"/>
      <c r="P97" s="225"/>
      <c r="Q97" s="225"/>
      <c r="R97" s="225"/>
      <c r="S97" s="225"/>
      <c r="T97" s="225"/>
      <c r="U97" s="213"/>
    </row>
    <row r="98" spans="2:21" ht="26" hidden="1" customHeight="1">
      <c r="B98" s="270"/>
      <c r="C98" s="274" t="str">
        <f>IFERROR(IF(_xlfn.XLOOKUP(B98, Table33[Investment Name], Table33[Override Investment Amount]) = 0, IF(_xlfn.XLOOKUP('Investment Proposal'!B98, Table33[Investment Name], Table33[Sum]) = 0, "", _xlfn.XLOOKUP('Investment Proposal'!B98, Table33[Investment Name], Table33[Sum])), _xlfn.XLOOKUP('Investment Proposal'!B98, Table33[Investment Name], Table33[Override Investment Amount])), "")</f>
        <v/>
      </c>
      <c r="D98" s="275">
        <f>IFERROR(_xlfn.XLOOKUP(B98, 'Asset Class Tables and Dropdown'!$A$3:$A$1001, 'Asset Class Tables and Dropdown'!$C$3:$C$1001),"")</f>
        <v>0</v>
      </c>
      <c r="E98" s="276" t="str">
        <f t="shared" si="13"/>
        <v/>
      </c>
      <c r="F98" s="276"/>
      <c r="G98" s="261" t="str">
        <f>IFERROR(IF(_xlfn.XLOOKUP(B98, 'Asset Class Tables and Dropdown'!$A$3:$A$1001, 'Asset Class Tables and Dropdown'!$D$3:$D$1001)=0, "", _xlfn.XLOOKUP(B98, 'Asset Class Tables and Dropdown'!$A$3:$A$1001, 'Asset Class Tables and Dropdown'!$D$3:$D$1001)), "")</f>
        <v/>
      </c>
      <c r="H98" s="262" t="str">
        <f>IFERROR(IF(_xlfn.XLOOKUP(B98, 'Asset Class Tables and Dropdown'!$A$3:$A$1001, 'Asset Class Tables and Dropdown'!$E$3:$E$1001)=0, "", _xlfn.XLOOKUP(B98, 'Asset Class Tables and Dropdown'!$A$3:$A$1001, 'Asset Class Tables and Dropdown'!$E$3:$E$1001)),"")</f>
        <v/>
      </c>
      <c r="I98" s="227">
        <f t="shared" si="12"/>
        <v>0</v>
      </c>
      <c r="K98" s="213" t="str">
        <f t="shared" si="11"/>
        <v/>
      </c>
      <c r="L98" s="213"/>
      <c r="M98" s="225"/>
      <c r="N98" s="225"/>
      <c r="O98" s="225"/>
      <c r="P98" s="225"/>
      <c r="Q98" s="225"/>
      <c r="R98" s="225"/>
      <c r="S98" s="225"/>
      <c r="T98" s="225"/>
      <c r="U98" s="213"/>
    </row>
    <row r="99" spans="2:21" ht="26" hidden="1" customHeight="1">
      <c r="B99" s="270"/>
      <c r="C99" s="274" t="str">
        <f>IFERROR(IF(_xlfn.XLOOKUP(B99, Table33[Investment Name], Table33[Override Investment Amount]) = 0, IF(_xlfn.XLOOKUP('Investment Proposal'!B99, Table33[Investment Name], Table33[Sum]) = 0, "", _xlfn.XLOOKUP('Investment Proposal'!B99, Table33[Investment Name], Table33[Sum])), _xlfn.XLOOKUP('Investment Proposal'!B99, Table33[Investment Name], Table33[Override Investment Amount])), "")</f>
        <v/>
      </c>
      <c r="D99" s="275">
        <f>IFERROR(_xlfn.XLOOKUP(B99, 'Asset Class Tables and Dropdown'!$A$3:$A$1001, 'Asset Class Tables and Dropdown'!$C$3:$C$1001),"")</f>
        <v>0</v>
      </c>
      <c r="E99" s="276" t="str">
        <f t="shared" si="13"/>
        <v/>
      </c>
      <c r="F99" s="276"/>
      <c r="G99" s="261" t="str">
        <f>IFERROR(IF(_xlfn.XLOOKUP(B99, 'Asset Class Tables and Dropdown'!$A$3:$A$1001, 'Asset Class Tables and Dropdown'!$D$3:$D$1001)=0, "", _xlfn.XLOOKUP(B99, 'Asset Class Tables and Dropdown'!$A$3:$A$1001, 'Asset Class Tables and Dropdown'!$D$3:$D$1001)), "")</f>
        <v/>
      </c>
      <c r="H99" s="262" t="str">
        <f>IFERROR(IF(_xlfn.XLOOKUP(B99, 'Asset Class Tables and Dropdown'!$A$3:$A$1001, 'Asset Class Tables and Dropdown'!$E$3:$E$1001)=0, "", _xlfn.XLOOKUP(B99, 'Asset Class Tables and Dropdown'!$A$3:$A$1001, 'Asset Class Tables and Dropdown'!$E$3:$E$1001)),"")</f>
        <v/>
      </c>
      <c r="I99" s="227">
        <f t="shared" si="12"/>
        <v>0</v>
      </c>
      <c r="K99" s="213" t="str">
        <f t="shared" si="11"/>
        <v/>
      </c>
      <c r="L99" s="213"/>
      <c r="M99" s="225"/>
      <c r="N99" s="225"/>
      <c r="O99" s="225"/>
      <c r="P99" s="225"/>
      <c r="Q99" s="225"/>
      <c r="R99" s="225"/>
      <c r="S99" s="225"/>
      <c r="T99" s="225"/>
      <c r="U99" s="213"/>
    </row>
    <row r="100" spans="2:21" ht="26" hidden="1" customHeight="1">
      <c r="B100" s="270"/>
      <c r="C100" s="274" t="str">
        <f>IFERROR(IF(_xlfn.XLOOKUP(B100, Table33[Investment Name], Table33[Override Investment Amount]) = 0, IF(_xlfn.XLOOKUP('Investment Proposal'!B100, Table33[Investment Name], Table33[Sum]) = 0, "", _xlfn.XLOOKUP('Investment Proposal'!B100, Table33[Investment Name], Table33[Sum])), _xlfn.XLOOKUP('Investment Proposal'!B100, Table33[Investment Name], Table33[Override Investment Amount])), "")</f>
        <v/>
      </c>
      <c r="D100" s="275">
        <f>IFERROR(_xlfn.XLOOKUP(B100, 'Asset Class Tables and Dropdown'!$A$3:$A$1001, 'Asset Class Tables and Dropdown'!$C$3:$C$1001),"")</f>
        <v>0</v>
      </c>
      <c r="E100" s="276" t="str">
        <f t="shared" si="13"/>
        <v/>
      </c>
      <c r="F100" s="276"/>
      <c r="G100" s="261" t="str">
        <f>IFERROR(IF(_xlfn.XLOOKUP(B100, 'Asset Class Tables and Dropdown'!$A$3:$A$1001, 'Asset Class Tables and Dropdown'!$D$3:$D$1001)=0, "", _xlfn.XLOOKUP(B100, 'Asset Class Tables and Dropdown'!$A$3:$A$1001, 'Asset Class Tables and Dropdown'!$D$3:$D$1001)), "")</f>
        <v/>
      </c>
      <c r="H100" s="262" t="str">
        <f>IFERROR(IF(_xlfn.XLOOKUP(B100, 'Asset Class Tables and Dropdown'!$A$3:$A$1001, 'Asset Class Tables and Dropdown'!$E$3:$E$1001)=0, "", _xlfn.XLOOKUP(B100, 'Asset Class Tables and Dropdown'!$A$3:$A$1001, 'Asset Class Tables and Dropdown'!$E$3:$E$1001)),"")</f>
        <v/>
      </c>
      <c r="I100" s="227">
        <f t="shared" si="12"/>
        <v>0</v>
      </c>
      <c r="K100" s="213" t="str">
        <f t="shared" si="11"/>
        <v/>
      </c>
      <c r="L100" s="213"/>
      <c r="M100" s="225"/>
      <c r="N100" s="225"/>
      <c r="O100" s="225"/>
      <c r="P100" s="225"/>
      <c r="Q100" s="225"/>
      <c r="R100" s="225"/>
      <c r="S100" s="225"/>
      <c r="T100" s="225"/>
      <c r="U100" s="213"/>
    </row>
    <row r="101" spans="2:21" ht="26" hidden="1" customHeight="1">
      <c r="B101" s="270"/>
      <c r="C101" s="274" t="str">
        <f>IFERROR(IF(_xlfn.XLOOKUP(B101, Table33[Investment Name], Table33[Override Investment Amount]) = 0, IF(_xlfn.XLOOKUP('Investment Proposal'!B101, Table33[Investment Name], Table33[Sum]) = 0, "", _xlfn.XLOOKUP('Investment Proposal'!B101, Table33[Investment Name], Table33[Sum])), _xlfn.XLOOKUP('Investment Proposal'!B101, Table33[Investment Name], Table33[Override Investment Amount])), "")</f>
        <v/>
      </c>
      <c r="D101" s="275">
        <f>IFERROR(_xlfn.XLOOKUP(B101, 'Asset Class Tables and Dropdown'!$A$3:$A$1001, 'Asset Class Tables and Dropdown'!$C$3:$C$1001),"")</f>
        <v>0</v>
      </c>
      <c r="E101" s="276" t="str">
        <f t="shared" si="13"/>
        <v/>
      </c>
      <c r="F101" s="276"/>
      <c r="G101" s="261" t="str">
        <f>IFERROR(IF(_xlfn.XLOOKUP(B101, 'Asset Class Tables and Dropdown'!$A$3:$A$1001, 'Asset Class Tables and Dropdown'!$D$3:$D$1001)=0, "", _xlfn.XLOOKUP(B101, 'Asset Class Tables and Dropdown'!$A$3:$A$1001, 'Asset Class Tables and Dropdown'!$D$3:$D$1001)), "")</f>
        <v/>
      </c>
      <c r="H101" s="262" t="str">
        <f>IFERROR(IF(_xlfn.XLOOKUP(B101, 'Asset Class Tables and Dropdown'!$A$3:$A$1001, 'Asset Class Tables and Dropdown'!$E$3:$E$1001)=0, "", _xlfn.XLOOKUP(B101, 'Asset Class Tables and Dropdown'!$A$3:$A$1001, 'Asset Class Tables and Dropdown'!$E$3:$E$1001)),"")</f>
        <v/>
      </c>
      <c r="I101" s="227">
        <f t="shared" si="12"/>
        <v>0</v>
      </c>
      <c r="K101" s="213" t="str">
        <f t="shared" si="11"/>
        <v/>
      </c>
      <c r="L101" s="213"/>
      <c r="M101" s="225"/>
      <c r="N101" s="225"/>
      <c r="O101" s="225"/>
      <c r="P101" s="225"/>
      <c r="Q101" s="225"/>
      <c r="R101" s="225"/>
      <c r="S101" s="225"/>
      <c r="T101" s="225"/>
      <c r="U101" s="213"/>
    </row>
    <row r="102" spans="2:21" ht="26" hidden="1" customHeight="1">
      <c r="B102" s="270"/>
      <c r="C102" s="274" t="str">
        <f>IFERROR(IF(_xlfn.XLOOKUP(B102, Table33[Investment Name], Table33[Override Investment Amount]) = 0, IF(_xlfn.XLOOKUP('Investment Proposal'!B102, Table33[Investment Name], Table33[Sum]) = 0, "", _xlfn.XLOOKUP('Investment Proposal'!B102, Table33[Investment Name], Table33[Sum])), _xlfn.XLOOKUP('Investment Proposal'!B102, Table33[Investment Name], Table33[Override Investment Amount])), "")</f>
        <v/>
      </c>
      <c r="D102" s="275">
        <f>IFERROR(_xlfn.XLOOKUP(B102, 'Asset Class Tables and Dropdown'!$A$3:$A$1001, 'Asset Class Tables and Dropdown'!$C$3:$C$1001),"")</f>
        <v>0</v>
      </c>
      <c r="E102" s="276" t="str">
        <f t="shared" si="13"/>
        <v/>
      </c>
      <c r="F102" s="276"/>
      <c r="G102" s="261" t="str">
        <f>IFERROR(IF(_xlfn.XLOOKUP(B102, 'Asset Class Tables and Dropdown'!$A$3:$A$1001, 'Asset Class Tables and Dropdown'!$D$3:$D$1001)=0, "", _xlfn.XLOOKUP(B102, 'Asset Class Tables and Dropdown'!$A$3:$A$1001, 'Asset Class Tables and Dropdown'!$D$3:$D$1001)), "")</f>
        <v/>
      </c>
      <c r="H102" s="262" t="str">
        <f>IFERROR(IF(_xlfn.XLOOKUP(B102, 'Asset Class Tables and Dropdown'!$A$3:$A$1001, 'Asset Class Tables and Dropdown'!$E$3:$E$1001)=0, "", _xlfn.XLOOKUP(B102, 'Asset Class Tables and Dropdown'!$A$3:$A$1001, 'Asset Class Tables and Dropdown'!$E$3:$E$1001)),"")</f>
        <v/>
      </c>
      <c r="I102" s="227">
        <f t="shared" si="12"/>
        <v>0</v>
      </c>
      <c r="K102" s="213" t="str">
        <f t="shared" si="11"/>
        <v/>
      </c>
      <c r="L102" s="213"/>
      <c r="M102" s="225"/>
      <c r="N102" s="225"/>
      <c r="O102" s="225"/>
      <c r="P102" s="225"/>
      <c r="Q102" s="225"/>
      <c r="R102" s="225"/>
      <c r="S102" s="225"/>
      <c r="T102" s="225"/>
      <c r="U102" s="213"/>
    </row>
    <row r="103" spans="2:21" ht="26" hidden="1" customHeight="1">
      <c r="B103" s="270"/>
      <c r="C103" s="274" t="str">
        <f>IFERROR(IF(_xlfn.XLOOKUP(B103, Table33[Investment Name], Table33[Override Investment Amount]) = 0, IF(_xlfn.XLOOKUP('Investment Proposal'!B103, Table33[Investment Name], Table33[Sum]) = 0, "", _xlfn.XLOOKUP('Investment Proposal'!B103, Table33[Investment Name], Table33[Sum])), _xlfn.XLOOKUP('Investment Proposal'!B103, Table33[Investment Name], Table33[Override Investment Amount])), "")</f>
        <v/>
      </c>
      <c r="D103" s="275">
        <f>IFERROR(_xlfn.XLOOKUP(B103, 'Asset Class Tables and Dropdown'!$A$3:$A$1001, 'Asset Class Tables and Dropdown'!$C$3:$C$1001),"")</f>
        <v>0</v>
      </c>
      <c r="E103" s="276" t="str">
        <f t="shared" si="13"/>
        <v/>
      </c>
      <c r="F103" s="276"/>
      <c r="G103" s="261" t="str">
        <f>IFERROR(IF(_xlfn.XLOOKUP(B103, 'Asset Class Tables and Dropdown'!$A$3:$A$1001, 'Asset Class Tables and Dropdown'!$D$3:$D$1001)=0, "", _xlfn.XLOOKUP(B103, 'Asset Class Tables and Dropdown'!$A$3:$A$1001, 'Asset Class Tables and Dropdown'!$D$3:$D$1001)), "")</f>
        <v/>
      </c>
      <c r="H103" s="262" t="str">
        <f>IFERROR(IF(_xlfn.XLOOKUP(B103, 'Asset Class Tables and Dropdown'!$A$3:$A$1001, 'Asset Class Tables and Dropdown'!$E$3:$E$1001)=0, "", _xlfn.XLOOKUP(B103, 'Asset Class Tables and Dropdown'!$A$3:$A$1001, 'Asset Class Tables and Dropdown'!$E$3:$E$1001)),"")</f>
        <v/>
      </c>
      <c r="I103" s="227">
        <f t="shared" si="12"/>
        <v>0</v>
      </c>
      <c r="K103" s="213" t="str">
        <f t="shared" si="11"/>
        <v/>
      </c>
      <c r="L103" s="213"/>
      <c r="M103" s="225"/>
      <c r="N103" s="225"/>
      <c r="O103" s="225"/>
      <c r="P103" s="225"/>
      <c r="Q103" s="225"/>
      <c r="R103" s="225"/>
      <c r="S103" s="225"/>
      <c r="T103" s="225"/>
      <c r="U103" s="213"/>
    </row>
    <row r="104" spans="2:21" ht="26" customHeight="1">
      <c r="B104" s="277" t="s">
        <v>40</v>
      </c>
      <c r="C104" s="278">
        <f>SUM(C85:C103)</f>
        <v>0</v>
      </c>
      <c r="D104" s="278"/>
      <c r="E104" s="278">
        <f>SUM(E85:E103)</f>
        <v>0</v>
      </c>
      <c r="F104" s="279"/>
      <c r="G104" s="263"/>
      <c r="H104" s="263" t="str">
        <f>IFERROR(VLOOKUP(B104,'Asset Class Tables and Dropdown'!$A$4:$E$21,5,FALSE),"")</f>
        <v/>
      </c>
      <c r="I104" s="226">
        <f>IF(SUM(I85:I103) = 0, 0, 1)</f>
        <v>0</v>
      </c>
      <c r="K104" s="213" t="str">
        <f t="shared" si="11"/>
        <v/>
      </c>
      <c r="L104" s="213"/>
      <c r="M104" s="225"/>
      <c r="N104" s="225"/>
      <c r="O104" s="225"/>
      <c r="P104" s="225"/>
      <c r="Q104" s="225"/>
      <c r="R104" s="225"/>
      <c r="S104" s="225"/>
      <c r="T104" s="225"/>
      <c r="U104" s="213"/>
    </row>
    <row r="105" spans="2:21" ht="26" customHeight="1">
      <c r="B105" s="270"/>
      <c r="C105" s="274"/>
      <c r="D105" s="274"/>
      <c r="E105" s="274"/>
      <c r="F105" s="276"/>
      <c r="G105" s="261"/>
      <c r="H105" s="261"/>
      <c r="I105" s="226">
        <f>IF(SUM(I85:I103) = 0, 0, 1)</f>
        <v>0</v>
      </c>
      <c r="K105" s="213" t="str">
        <f t="shared" si="11"/>
        <v/>
      </c>
      <c r="L105" s="213"/>
      <c r="M105" s="225"/>
      <c r="N105" s="225"/>
      <c r="O105" s="225"/>
      <c r="P105" s="225"/>
      <c r="Q105" s="225"/>
      <c r="R105" s="225"/>
      <c r="S105" s="225"/>
      <c r="T105" s="225"/>
      <c r="U105" s="213"/>
    </row>
    <row r="106" spans="2:21" ht="26" customHeight="1">
      <c r="B106" s="271" t="s">
        <v>45</v>
      </c>
      <c r="C106" s="274"/>
      <c r="D106" s="274"/>
      <c r="E106" s="274"/>
      <c r="F106" s="276"/>
      <c r="G106" s="261"/>
      <c r="H106" s="261"/>
      <c r="I106" s="226">
        <f>IF(SUM(I107:I117) = 0, 0, 1)</f>
        <v>0</v>
      </c>
      <c r="K106" s="213" t="str">
        <f t="shared" si="11"/>
        <v>FIXED INCOME</v>
      </c>
      <c r="L106" s="213"/>
      <c r="M106" s="225"/>
      <c r="N106" s="225"/>
      <c r="O106" s="225"/>
      <c r="P106" s="225"/>
      <c r="Q106" s="225"/>
      <c r="R106" s="225"/>
      <c r="S106" s="225"/>
      <c r="T106" s="225"/>
      <c r="U106" s="213"/>
    </row>
    <row r="107" spans="2:21" ht="26" hidden="1" customHeight="1">
      <c r="B107" s="270" t="s">
        <v>333</v>
      </c>
      <c r="C107" s="274" t="str">
        <f>IFERROR(IF(_xlfn.XLOOKUP(B107, Table33[Investment Name], Table33[Override Investment Amount]) = 0, IF(_xlfn.XLOOKUP('Investment Proposal'!B107, Table33[Investment Name], Table33[Sum]) = 0, "", _xlfn.XLOOKUP('Investment Proposal'!B107, Table33[Investment Name], Table33[Sum])), _xlfn.XLOOKUP('Investment Proposal'!B107, Table33[Investment Name], Table33[Override Investment Amount])), "")</f>
        <v/>
      </c>
      <c r="D107" s="275">
        <f>IFERROR(_xlfn.XLOOKUP(B107, 'Asset Class Tables and Dropdown'!$A$3:$A$1001, 'Asset Class Tables and Dropdown'!$C$3:$C$1001),"")</f>
        <v>0.06</v>
      </c>
      <c r="E107" s="276" t="str">
        <f>IFERROR(IF(C107*D107&gt;0,C107*D107,""),"")</f>
        <v/>
      </c>
      <c r="F107" s="276"/>
      <c r="G107" s="261" t="str">
        <f>IFERROR(IF(_xlfn.XLOOKUP(B107, 'Asset Class Tables and Dropdown'!$A$3:$A$1001, 'Asset Class Tables and Dropdown'!$D$3:$D$1001)=0, "", _xlfn.XLOOKUP(B107, 'Asset Class Tables and Dropdown'!$A$3:$A$1001, 'Asset Class Tables and Dropdown'!$D$3:$D$1001)), "")</f>
        <v>Low/Mid</v>
      </c>
      <c r="H107" s="261" t="str">
        <f>IFERROR(IF(_xlfn.XLOOKUP(B107, 'Asset Class Tables and Dropdown'!$A$3:$A$1001, 'Asset Class Tables and Dropdown'!$E$3:$E$1001)=0, "", _xlfn.XLOOKUP(B107, 'Asset Class Tables and Dropdown'!$A$3:$A$1001, 'Asset Class Tables and Dropdown'!$E$3:$E$1001)),"")</f>
        <v>Moderate</v>
      </c>
      <c r="I107" s="227">
        <f t="shared" ref="I107:I117" si="14">IF(C107="", 0, 1)</f>
        <v>0</v>
      </c>
      <c r="K107" s="213" t="str">
        <f t="shared" si="11"/>
        <v>Bluebay Destra International Event Driven Credit Fund</v>
      </c>
      <c r="L107" s="213"/>
      <c r="M107" s="225"/>
      <c r="N107" s="225"/>
      <c r="O107" s="225"/>
      <c r="P107" s="225"/>
      <c r="Q107" s="225"/>
      <c r="R107" s="225"/>
      <c r="S107" s="225"/>
      <c r="T107" s="225"/>
      <c r="U107" s="213"/>
    </row>
    <row r="108" spans="2:21" ht="26" hidden="1" customHeight="1">
      <c r="B108" s="270" t="s">
        <v>346</v>
      </c>
      <c r="C108" s="274" t="str">
        <f>IFERROR(IF(_xlfn.XLOOKUP(B108, Table33[Investment Name], Table33[Override Investment Amount]) = 0, IF(_xlfn.XLOOKUP('Investment Proposal'!B108, Table33[Investment Name], Table33[Sum]) = 0, "", _xlfn.XLOOKUP('Investment Proposal'!B108, Table33[Investment Name], Table33[Sum])), _xlfn.XLOOKUP('Investment Proposal'!B108, Table33[Investment Name], Table33[Override Investment Amount])), "")</f>
        <v/>
      </c>
      <c r="D108" s="275">
        <f>IFERROR(_xlfn.XLOOKUP(B108, 'Asset Class Tables and Dropdown'!$A$3:$A$1001, 'Asset Class Tables and Dropdown'!$C$3:$C$1001),"")</f>
        <v>5.9400000000000001E-2</v>
      </c>
      <c r="E108" s="276" t="str">
        <f t="shared" ref="E108:E114" si="15">IFERROR(IF(C108*D108&gt;0,C108*D108,""),"")</f>
        <v/>
      </c>
      <c r="F108" s="276"/>
      <c r="G108" s="261" t="str">
        <f>IFERROR(IF(_xlfn.XLOOKUP(B108, 'Asset Class Tables and Dropdown'!$A$3:$A$1001, 'Asset Class Tables and Dropdown'!$D$3:$D$1001)=0, "", _xlfn.XLOOKUP(B108, 'Asset Class Tables and Dropdown'!$A$3:$A$1001, 'Asset Class Tables and Dropdown'!$D$3:$D$1001)), "")</f>
        <v>High</v>
      </c>
      <c r="H108" s="261" t="str">
        <f>IFERROR(IF(_xlfn.XLOOKUP(B108, 'Asset Class Tables and Dropdown'!$A$3:$A$1001, 'Asset Class Tables and Dropdown'!$E$3:$E$1001)=0, "", _xlfn.XLOOKUP(B108, 'Asset Class Tables and Dropdown'!$A$3:$A$1001, 'Asset Class Tables and Dropdown'!$E$3:$E$1001)),"")</f>
        <v>Conservative</v>
      </c>
      <c r="I108" s="227">
        <f t="shared" si="14"/>
        <v>0</v>
      </c>
      <c r="K108" s="213" t="str">
        <f t="shared" si="11"/>
        <v>Counterpoint Tactical Income Fund</v>
      </c>
      <c r="L108" s="213"/>
      <c r="M108" s="225"/>
      <c r="N108" s="225"/>
      <c r="O108" s="225"/>
      <c r="P108" s="225"/>
      <c r="Q108" s="225"/>
      <c r="R108" s="225"/>
      <c r="S108" s="225"/>
      <c r="T108" s="225"/>
      <c r="U108" s="213"/>
    </row>
    <row r="109" spans="2:21" ht="26" hidden="1" customHeight="1">
      <c r="B109" s="270" t="s">
        <v>352</v>
      </c>
      <c r="C109" s="274" t="str">
        <f>IFERROR(IF(_xlfn.XLOOKUP(B109, Table33[Investment Name], Table33[Override Investment Amount]) = 0, IF(_xlfn.XLOOKUP('Investment Proposal'!B109, Table33[Investment Name], Table33[Sum]) = 0, "", _xlfn.XLOOKUP('Investment Proposal'!B109, Table33[Investment Name], Table33[Sum])), _xlfn.XLOOKUP('Investment Proposal'!B109, Table33[Investment Name], Table33[Override Investment Amount])), "")</f>
        <v/>
      </c>
      <c r="D109" s="275">
        <f>IFERROR(_xlfn.XLOOKUP(B109, 'Asset Class Tables and Dropdown'!$A$3:$A$1001, 'Asset Class Tables and Dropdown'!$C$3:$C$1001),"")</f>
        <v>7.0099999999999996E-2</v>
      </c>
      <c r="E109" s="276" t="str">
        <f t="shared" si="15"/>
        <v/>
      </c>
      <c r="F109" s="276"/>
      <c r="G109" s="261" t="str">
        <f>IFERROR(IF(_xlfn.XLOOKUP(B109, 'Asset Class Tables and Dropdown'!$A$3:$A$1001, 'Asset Class Tables and Dropdown'!$D$3:$D$1001)=0, "", _xlfn.XLOOKUP(B109, 'Asset Class Tables and Dropdown'!$A$3:$A$1001, 'Asset Class Tables and Dropdown'!$D$3:$D$1001)), "")</f>
        <v>High</v>
      </c>
      <c r="H109" s="261" t="str">
        <f>IFERROR(IF(_xlfn.XLOOKUP(B109, 'Asset Class Tables and Dropdown'!$A$3:$A$1001, 'Asset Class Tables and Dropdown'!$E$3:$E$1001)=0, "", _xlfn.XLOOKUP(B109, 'Asset Class Tables and Dropdown'!$A$3:$A$1001, 'Asset Class Tables and Dropdown'!$E$3:$E$1001)),"")</f>
        <v>Conservative</v>
      </c>
      <c r="I109" s="227">
        <f t="shared" si="14"/>
        <v>0</v>
      </c>
      <c r="K109" s="213" t="str">
        <f t="shared" si="11"/>
        <v>Easterly Income Opportunities</v>
      </c>
      <c r="L109" s="213"/>
      <c r="M109" s="225"/>
      <c r="N109" s="225"/>
      <c r="O109" s="225"/>
      <c r="P109" s="225"/>
      <c r="Q109" s="225"/>
      <c r="R109" s="225"/>
      <c r="S109" s="225"/>
      <c r="T109" s="225"/>
      <c r="U109" s="213"/>
    </row>
    <row r="110" spans="2:21" ht="26" customHeight="1">
      <c r="B110" s="270" t="s">
        <v>376</v>
      </c>
      <c r="C110" s="274" t="str">
        <f>IFERROR(IF(_xlfn.XLOOKUP(B110, Table33[Investment Name], Table33[Override Investment Amount]) = 0, IF(_xlfn.XLOOKUP('Investment Proposal'!B110, Table33[Investment Name], Table33[Sum]) = 0, "", _xlfn.XLOOKUP('Investment Proposal'!B110, Table33[Investment Name], Table33[Sum])), _xlfn.XLOOKUP('Investment Proposal'!B110, Table33[Investment Name], Table33[Override Investment Amount])), "")</f>
        <v/>
      </c>
      <c r="D110" s="275">
        <f>IFERROR(_xlfn.XLOOKUP(B110, 'Asset Class Tables and Dropdown'!$A$3:$A$1001, 'Asset Class Tables and Dropdown'!$C$3:$C$1001),"")</f>
        <v>9.4799999999999995E-2</v>
      </c>
      <c r="E110" s="276" t="str">
        <f t="shared" si="15"/>
        <v/>
      </c>
      <c r="F110" s="276"/>
      <c r="G110" s="261" t="str">
        <f>IFERROR(IF(_xlfn.XLOOKUP(B110, 'Asset Class Tables and Dropdown'!$A$3:$A$1001, 'Asset Class Tables and Dropdown'!$D$3:$D$1001)=0, "", _xlfn.XLOOKUP(B110, 'Asset Class Tables and Dropdown'!$A$3:$A$1001, 'Asset Class Tables and Dropdown'!$D$3:$D$1001)), "")</f>
        <v>Low/Mid</v>
      </c>
      <c r="H110" s="261" t="str">
        <f>IFERROR(IF(_xlfn.XLOOKUP(B110, 'Asset Class Tables and Dropdown'!$A$3:$A$1001, 'Asset Class Tables and Dropdown'!$E$3:$E$1001)=0, "", _xlfn.XLOOKUP(B110, 'Asset Class Tables and Dropdown'!$A$3:$A$1001, 'Asset Class Tables and Dropdown'!$E$3:$E$1001)),"")</f>
        <v>Conservative/Moderate</v>
      </c>
      <c r="I110" s="227">
        <f t="shared" si="14"/>
        <v>0</v>
      </c>
      <c r="K110" s="213" t="str">
        <f t="shared" si="11"/>
        <v>Lord Abbett Credit Opportunities Fund</v>
      </c>
      <c r="L110" s="213"/>
      <c r="M110" s="225"/>
      <c r="N110" s="225"/>
      <c r="O110" s="225"/>
      <c r="P110" s="225"/>
      <c r="Q110" s="225"/>
      <c r="R110" s="225"/>
      <c r="S110" s="225"/>
      <c r="T110" s="225"/>
      <c r="U110" s="213"/>
    </row>
    <row r="111" spans="2:21" ht="26" hidden="1" customHeight="1">
      <c r="B111" s="270" t="s">
        <v>392</v>
      </c>
      <c r="C111" s="274" t="str">
        <f>IFERROR(IF(_xlfn.XLOOKUP(B111, Table33[Investment Name], Table33[Override Investment Amount]) = 0, IF(_xlfn.XLOOKUP('Investment Proposal'!B111, Table33[Investment Name], Table33[Sum]) = 0, "", _xlfn.XLOOKUP('Investment Proposal'!B111, Table33[Investment Name], Table33[Sum])), _xlfn.XLOOKUP('Investment Proposal'!B111, Table33[Investment Name], Table33[Override Investment Amount])), "")</f>
        <v/>
      </c>
      <c r="D111" s="275">
        <f>IFERROR(_xlfn.XLOOKUP(B111, 'Asset Class Tables and Dropdown'!$A$3:$A$1001, 'Asset Class Tables and Dropdown'!$C$3:$C$1001),"")</f>
        <v>6.9800000000000001E-2</v>
      </c>
      <c r="E111" s="276" t="str">
        <f t="shared" si="15"/>
        <v/>
      </c>
      <c r="F111" s="276"/>
      <c r="G111" s="261" t="str">
        <f>IFERROR(IF(_xlfn.XLOOKUP(B111, 'Asset Class Tables and Dropdown'!$A$3:$A$1001, 'Asset Class Tables and Dropdown'!$D$3:$D$1001)=0, "", _xlfn.XLOOKUP(B111, 'Asset Class Tables and Dropdown'!$A$3:$A$1001, 'Asset Class Tables and Dropdown'!$D$3:$D$1001)), "")</f>
        <v>High</v>
      </c>
      <c r="H111" s="261" t="str">
        <f>IFERROR(IF(_xlfn.XLOOKUP(B111, 'Asset Class Tables and Dropdown'!$A$3:$A$1001, 'Asset Class Tables and Dropdown'!$E$3:$E$1001)=0, "", _xlfn.XLOOKUP(B111, 'Asset Class Tables and Dropdown'!$A$3:$A$1001, 'Asset Class Tables and Dropdown'!$E$3:$E$1001)),"")</f>
        <v>Conservative</v>
      </c>
      <c r="I111" s="227">
        <f t="shared" si="14"/>
        <v>0</v>
      </c>
      <c r="K111" s="213" t="str">
        <f t="shared" si="11"/>
        <v>PGIM Jennison High Yield</v>
      </c>
      <c r="L111" s="213"/>
      <c r="M111" s="225"/>
      <c r="N111" s="225"/>
      <c r="O111" s="225"/>
      <c r="P111" s="225"/>
      <c r="Q111" s="225"/>
      <c r="R111" s="225"/>
      <c r="S111" s="225"/>
      <c r="T111" s="225"/>
      <c r="U111" s="213"/>
    </row>
    <row r="112" spans="2:21" ht="26" hidden="1" customHeight="1">
      <c r="B112" s="270" t="s">
        <v>396</v>
      </c>
      <c r="C112" s="274" t="str">
        <f>IFERROR(IF(_xlfn.XLOOKUP(B112, Table33[Investment Name], Table33[Override Investment Amount]) = 0, IF(_xlfn.XLOOKUP('Investment Proposal'!B112, Table33[Investment Name], Table33[Sum]) = 0, "", _xlfn.XLOOKUP('Investment Proposal'!B112, Table33[Investment Name], Table33[Sum])), _xlfn.XLOOKUP('Investment Proposal'!B112, Table33[Investment Name], Table33[Override Investment Amount])), "")</f>
        <v/>
      </c>
      <c r="D112" s="275">
        <f>IFERROR(_xlfn.XLOOKUP(B112, 'Asset Class Tables and Dropdown'!$A$3:$A$1001, 'Asset Class Tables and Dropdown'!$C$3:$C$1001),"")</f>
        <v>6.5199999999999994E-2</v>
      </c>
      <c r="E112" s="276" t="str">
        <f t="shared" si="15"/>
        <v/>
      </c>
      <c r="F112" s="276"/>
      <c r="G112" s="261" t="str">
        <f>IFERROR(IF(_xlfn.XLOOKUP(B112, 'Asset Class Tables and Dropdown'!$A$3:$A$1001, 'Asset Class Tables and Dropdown'!$D$3:$D$1001)=0, "", _xlfn.XLOOKUP(B112, 'Asset Class Tables and Dropdown'!$A$3:$A$1001, 'Asset Class Tables and Dropdown'!$D$3:$D$1001)), "")</f>
        <v>High</v>
      </c>
      <c r="H112" s="261" t="str">
        <f>IFERROR(IF(_xlfn.XLOOKUP(B112, 'Asset Class Tables and Dropdown'!$A$3:$A$1001, 'Asset Class Tables and Dropdown'!$E$3:$E$1001)=0, "", _xlfn.XLOOKUP(B112, 'Asset Class Tables and Dropdown'!$A$3:$A$1001, 'Asset Class Tables and Dropdown'!$E$3:$E$1001)),"")</f>
        <v>Conservative</v>
      </c>
      <c r="I112" s="227">
        <f t="shared" si="14"/>
        <v>0</v>
      </c>
      <c r="K112" s="213" t="str">
        <f t="shared" si="11"/>
        <v>PGIM Jennison Short Duration High Yield</v>
      </c>
    </row>
    <row r="113" spans="2:21" ht="26" hidden="1" customHeight="1">
      <c r="B113" s="270" t="s">
        <v>398</v>
      </c>
      <c r="C113" s="274" t="str">
        <f>IFERROR(IF(_xlfn.XLOOKUP(B113, Table33[Investment Name], Table33[Override Investment Amount]) = 0, IF(_xlfn.XLOOKUP('Investment Proposal'!B113, Table33[Investment Name], Table33[Sum]) = 0, "", _xlfn.XLOOKUP('Investment Proposal'!B113, Table33[Investment Name], Table33[Sum])), _xlfn.XLOOKUP('Investment Proposal'!B113, Table33[Investment Name], Table33[Override Investment Amount])), "")</f>
        <v/>
      </c>
      <c r="D113" s="275">
        <f>IFERROR(_xlfn.XLOOKUP(B113, 'Asset Class Tables and Dropdown'!$A$3:$A$1001, 'Asset Class Tables and Dropdown'!$C$3:$C$1001),"")</f>
        <v>7.2800000000000004E-2</v>
      </c>
      <c r="E113" s="276" t="str">
        <f t="shared" si="15"/>
        <v/>
      </c>
      <c r="F113" s="276"/>
      <c r="G113" s="261" t="str">
        <f>IFERROR(IF(_xlfn.XLOOKUP(B113, 'Asset Class Tables and Dropdown'!$A$3:$A$1001, 'Asset Class Tables and Dropdown'!$D$3:$D$1001)=0, "", _xlfn.XLOOKUP(B113, 'Asset Class Tables and Dropdown'!$A$3:$A$1001, 'Asset Class Tables and Dropdown'!$D$3:$D$1001)), "")</f>
        <v>High</v>
      </c>
      <c r="H113" s="261" t="str">
        <f>IFERROR(IF(_xlfn.XLOOKUP(B113, 'Asset Class Tables and Dropdown'!$A$3:$A$1001, 'Asset Class Tables and Dropdown'!$E$3:$E$1001)=0, "", _xlfn.XLOOKUP(B113, 'Asset Class Tables and Dropdown'!$A$3:$A$1001, 'Asset Class Tables and Dropdown'!$E$3:$E$1001)),"")</f>
        <v>Conservative</v>
      </c>
      <c r="I113" s="227">
        <f t="shared" si="14"/>
        <v>0</v>
      </c>
      <c r="K113" s="213" t="str">
        <f t="shared" si="11"/>
        <v>PIMCO Income</v>
      </c>
    </row>
    <row r="114" spans="2:21" ht="26" customHeight="1">
      <c r="B114" s="270" t="s">
        <v>113</v>
      </c>
      <c r="C114" s="274" t="str">
        <f>IFERROR(IF(_xlfn.XLOOKUP(B114, Table33[Investment Name], Table33[Override Investment Amount]) = 0, IF(_xlfn.XLOOKUP('Investment Proposal'!B114, Table33[Investment Name], Table33[Sum]) = 0, "", _xlfn.XLOOKUP('Investment Proposal'!B114, Table33[Investment Name], Table33[Sum])), _xlfn.XLOOKUP('Investment Proposal'!B114, Table33[Investment Name], Table33[Override Investment Amount])), "")</f>
        <v/>
      </c>
      <c r="D114" s="275">
        <f>IFERROR(_xlfn.XLOOKUP(B114, 'Asset Class Tables and Dropdown'!$A$3:$A$1001, 'Asset Class Tables and Dropdown'!$C$3:$C$1001),"")</f>
        <v>0</v>
      </c>
      <c r="E114" s="276" t="str">
        <f t="shared" si="15"/>
        <v/>
      </c>
      <c r="F114" s="276"/>
      <c r="G114" s="261" t="str">
        <f>IFERROR(IF(_xlfn.XLOOKUP(B114, 'Asset Class Tables and Dropdown'!$A$3:$A$1001, 'Asset Class Tables and Dropdown'!$D$3:$D$1001)=0, "", _xlfn.XLOOKUP(B114, 'Asset Class Tables and Dropdown'!$A$3:$A$1001, 'Asset Class Tables and Dropdown'!$D$3:$D$1001)), "")</f>
        <v xml:space="preserve">High </v>
      </c>
      <c r="H114" s="261" t="str">
        <f>IFERROR(IF(_xlfn.XLOOKUP(B114, 'Asset Class Tables and Dropdown'!$A$3:$A$1001, 'Asset Class Tables and Dropdown'!$E$3:$E$1001)=0, "", _xlfn.XLOOKUP(B114, 'Asset Class Tables and Dropdown'!$A$3:$A$1001, 'Asset Class Tables and Dropdown'!$E$3:$E$1001)),"")</f>
        <v xml:space="preserve">Conservative </v>
      </c>
      <c r="I114" s="227">
        <f t="shared" si="14"/>
        <v>0</v>
      </c>
      <c r="K114" s="213" t="str">
        <f t="shared" si="11"/>
        <v>Cash</v>
      </c>
    </row>
    <row r="115" spans="2:21" ht="26" hidden="1" customHeight="1">
      <c r="B115" s="270"/>
      <c r="C115" s="274" t="str">
        <f>IFERROR(IF(_xlfn.XLOOKUP(B115, Table33[Investment Name], Table33[Override Investment Amount]) = 0, IF(_xlfn.XLOOKUP('Investment Proposal'!B115, Table33[Investment Name], Table33[Sum]) = 0, "", _xlfn.XLOOKUP('Investment Proposal'!B115, Table33[Investment Name], Table33[Sum])), _xlfn.XLOOKUP('Investment Proposal'!B115, Table33[Investment Name], Table33[Override Investment Amount])), "")</f>
        <v/>
      </c>
      <c r="D115" s="275">
        <f>IFERROR(_xlfn.XLOOKUP(B115, 'Asset Class Tables and Dropdown'!$A$3:$A$1001, 'Asset Class Tables and Dropdown'!$C$3:$C$1001),"")</f>
        <v>0</v>
      </c>
      <c r="E115" s="276" t="str">
        <f>IFERROR(IF(C115*D115&gt;0,C115*D115,""),"")</f>
        <v/>
      </c>
      <c r="F115" s="276"/>
      <c r="G115" s="261" t="str">
        <f>IFERROR(IF(_xlfn.XLOOKUP(B115, 'Asset Class Tables and Dropdown'!$A$3:$A$1001, 'Asset Class Tables and Dropdown'!$D$3:$D$1001)=0, "", _xlfn.XLOOKUP(B115, 'Asset Class Tables and Dropdown'!$A$3:$A$1001, 'Asset Class Tables and Dropdown'!$D$3:$D$1001)), "")</f>
        <v/>
      </c>
      <c r="H115" s="261" t="str">
        <f>IFERROR(IF(_xlfn.XLOOKUP(B115, 'Asset Class Tables and Dropdown'!$A$3:$A$1001, 'Asset Class Tables and Dropdown'!$E$3:$E$1001)=0, "", _xlfn.XLOOKUP(B115, 'Asset Class Tables and Dropdown'!$A$3:$A$1001, 'Asset Class Tables and Dropdown'!$E$3:$E$1001)),"")</f>
        <v/>
      </c>
      <c r="I115" s="227">
        <f t="shared" si="14"/>
        <v>0</v>
      </c>
      <c r="K115" s="213" t="str">
        <f t="shared" si="11"/>
        <v/>
      </c>
    </row>
    <row r="116" spans="2:21" ht="26" hidden="1" customHeight="1">
      <c r="B116" s="270"/>
      <c r="C116" s="274" t="str">
        <f>IFERROR(IF(_xlfn.XLOOKUP(B116, Table33[Investment Name], Table33[Override Investment Amount]) = 0, IF(_xlfn.XLOOKUP('Investment Proposal'!B116, Table33[Investment Name], Table33[Sum]) = 0, "", _xlfn.XLOOKUP('Investment Proposal'!B116, Table33[Investment Name], Table33[Sum])), _xlfn.XLOOKUP('Investment Proposal'!B116, Table33[Investment Name], Table33[Override Investment Amount])), "")</f>
        <v/>
      </c>
      <c r="D116" s="275">
        <f>IFERROR(_xlfn.XLOOKUP(B116, 'Asset Class Tables and Dropdown'!$A$3:$A$1001, 'Asset Class Tables and Dropdown'!$C$3:$C$1001),"")</f>
        <v>0</v>
      </c>
      <c r="E116" s="276" t="str">
        <f>IFERROR(IF(C116*D116&gt;0,C116*D116,""),"")</f>
        <v/>
      </c>
      <c r="F116" s="276"/>
      <c r="G116" s="261" t="str">
        <f>IFERROR(IF(_xlfn.XLOOKUP(B116, 'Asset Class Tables and Dropdown'!$A$3:$A$1001, 'Asset Class Tables and Dropdown'!$D$3:$D$1001)=0, "", _xlfn.XLOOKUP(B116, 'Asset Class Tables and Dropdown'!$A$3:$A$1001, 'Asset Class Tables and Dropdown'!$D$3:$D$1001)), "")</f>
        <v/>
      </c>
      <c r="H116" s="261" t="str">
        <f>IFERROR(IF(_xlfn.XLOOKUP(B116, 'Asset Class Tables and Dropdown'!$A$3:$A$1001, 'Asset Class Tables and Dropdown'!$E$3:$E$1001)=0, "", _xlfn.XLOOKUP(B116, 'Asset Class Tables and Dropdown'!$A$3:$A$1001, 'Asset Class Tables and Dropdown'!$E$3:$E$1001)),"")</f>
        <v/>
      </c>
      <c r="I116" s="227">
        <f t="shared" si="14"/>
        <v>0</v>
      </c>
      <c r="K116" s="213" t="str">
        <f t="shared" si="11"/>
        <v/>
      </c>
    </row>
    <row r="117" spans="2:21" ht="26" hidden="1" customHeight="1">
      <c r="B117" s="270"/>
      <c r="C117" s="274" t="str">
        <f>IFERROR(IF(_xlfn.XLOOKUP(B117, Table33[Investment Name], Table33[Override Investment Amount]) = 0, IF(_xlfn.XLOOKUP('Investment Proposal'!B117, Table33[Investment Name], Table33[Sum]) = 0, "", _xlfn.XLOOKUP('Investment Proposal'!B117, Table33[Investment Name], Table33[Sum])), _xlfn.XLOOKUP('Investment Proposal'!B117, Table33[Investment Name], Table33[Override Investment Amount])), "")</f>
        <v/>
      </c>
      <c r="D117" s="275">
        <f>IFERROR(_xlfn.XLOOKUP(B117, 'Asset Class Tables and Dropdown'!$A$3:$A$1001, 'Asset Class Tables and Dropdown'!$C$3:$C$1001),"")</f>
        <v>0</v>
      </c>
      <c r="E117" s="276" t="str">
        <f>IFERROR(IF(C117*D117&gt;0,C117*D117,""),"")</f>
        <v/>
      </c>
      <c r="F117" s="276"/>
      <c r="G117" s="261" t="str">
        <f>IFERROR(IF(_xlfn.XLOOKUP(B117, 'Asset Class Tables and Dropdown'!$A$3:$A$1001, 'Asset Class Tables and Dropdown'!$D$3:$D$1001)=0, "", _xlfn.XLOOKUP(B117, 'Asset Class Tables and Dropdown'!$A$3:$A$1001, 'Asset Class Tables and Dropdown'!$D$3:$D$1001)), "")</f>
        <v/>
      </c>
      <c r="H117" s="261" t="str">
        <f>IFERROR(IF(_xlfn.XLOOKUP(B117, 'Asset Class Tables and Dropdown'!$A$3:$A$1001, 'Asset Class Tables and Dropdown'!$E$3:$E$1001)=0, "", _xlfn.XLOOKUP(B117, 'Asset Class Tables and Dropdown'!$A$3:$A$1001, 'Asset Class Tables and Dropdown'!$E$3:$E$1001)),"")</f>
        <v/>
      </c>
      <c r="I117" s="227">
        <f t="shared" si="14"/>
        <v>0</v>
      </c>
      <c r="K117" s="213" t="str">
        <f t="shared" si="11"/>
        <v/>
      </c>
      <c r="L117" s="213"/>
      <c r="M117" s="213"/>
      <c r="N117" s="213"/>
      <c r="O117" s="213"/>
      <c r="P117" s="213"/>
      <c r="Q117" s="213"/>
      <c r="R117" s="213"/>
      <c r="S117" s="213"/>
      <c r="T117" s="213"/>
      <c r="U117" s="213"/>
    </row>
    <row r="118" spans="2:21" ht="26" customHeight="1">
      <c r="B118" s="277" t="s">
        <v>40</v>
      </c>
      <c r="C118" s="278">
        <f>SUM(C107:C117)</f>
        <v>0</v>
      </c>
      <c r="D118" s="278"/>
      <c r="E118" s="278">
        <f>SUM(E107:E117)</f>
        <v>0</v>
      </c>
      <c r="F118" s="279"/>
      <c r="G118" s="263"/>
      <c r="H118" s="263"/>
      <c r="I118" s="226">
        <f>IF(SUM(I107:I117) = 0, 0, 1)</f>
        <v>0</v>
      </c>
      <c r="K118" s="213" t="str">
        <f t="shared" si="11"/>
        <v/>
      </c>
      <c r="L118" s="213"/>
      <c r="M118" s="213"/>
      <c r="N118" s="213"/>
      <c r="O118" s="213"/>
      <c r="P118" s="213"/>
      <c r="Q118" s="213"/>
      <c r="R118" s="213"/>
      <c r="S118" s="213"/>
      <c r="T118" s="213"/>
      <c r="U118" s="213"/>
    </row>
    <row r="119" spans="2:21" ht="26" customHeight="1">
      <c r="B119" s="270"/>
      <c r="C119" s="274"/>
      <c r="D119" s="275"/>
      <c r="E119" s="276" t="str">
        <f>IFERROR(IF(C119*D119&gt;0,C119*D119,""),"")</f>
        <v/>
      </c>
      <c r="F119" s="276"/>
      <c r="G119" s="261"/>
      <c r="H119" s="261" t="str">
        <f>IFERROR(VLOOKUP(B119,'Asset Class Tables and Dropdown'!$A$4:$E$21,5,FALSE),"")</f>
        <v/>
      </c>
      <c r="I119" s="226">
        <f>IF(SUM(I107:I117) = 0, 0, 1)</f>
        <v>0</v>
      </c>
      <c r="K119" s="213" t="str">
        <f t="shared" si="11"/>
        <v/>
      </c>
      <c r="L119" s="213"/>
      <c r="M119" s="213"/>
      <c r="N119" s="213"/>
      <c r="O119" s="213"/>
      <c r="P119" s="213"/>
      <c r="Q119" s="213"/>
      <c r="R119" s="213"/>
      <c r="S119" s="213"/>
      <c r="T119" s="213"/>
      <c r="U119" s="213"/>
    </row>
    <row r="120" spans="2:21" ht="26" customHeight="1">
      <c r="B120" s="271" t="s">
        <v>46</v>
      </c>
      <c r="C120" s="274"/>
      <c r="D120" s="275"/>
      <c r="E120" s="276" t="str">
        <f>IFERROR(IF(C120*D120&gt;0,C120*D120,""),"")</f>
        <v/>
      </c>
      <c r="F120" s="276"/>
      <c r="G120" s="261"/>
      <c r="H120" s="261"/>
      <c r="I120" s="226">
        <f>IF(SUM(I157:I174) = 0, 0, 1)</f>
        <v>0</v>
      </c>
      <c r="K120" s="213" t="str">
        <f t="shared" si="11"/>
        <v>PUBLIC EQUITY</v>
      </c>
      <c r="L120" s="213"/>
      <c r="M120" s="213"/>
      <c r="N120" s="213"/>
      <c r="O120" s="213"/>
      <c r="P120" s="213"/>
      <c r="Q120" s="213"/>
      <c r="R120" s="213"/>
      <c r="S120" s="213"/>
      <c r="T120" s="213"/>
      <c r="U120" s="213"/>
    </row>
    <row r="121" spans="2:21" ht="26" hidden="1" customHeight="1">
      <c r="B121" s="270" t="s">
        <v>456</v>
      </c>
      <c r="C121" s="274" t="str">
        <f>IFERROR(IF(_xlfn.XLOOKUP(B121, Table33[Investment Name], Table33[Override Investment Amount]) = 0, IF(_xlfn.XLOOKUP('Investment Proposal'!B121, Table33[Investment Name], Table33[Sum]) = 0, "", _xlfn.XLOOKUP('Investment Proposal'!B121, Table33[Investment Name], Table33[Sum])), _xlfn.XLOOKUP('Investment Proposal'!B121, Table33[Investment Name], Table33[Override Investment Amount])), "")</f>
        <v/>
      </c>
      <c r="D121" s="275">
        <f>IFERROR(_xlfn.XLOOKUP(B121, 'Asset Class Tables and Dropdown'!$A$3:$A$1001, 'Asset Class Tables and Dropdown'!$C$3:$C$1001),"")</f>
        <v>0</v>
      </c>
      <c r="E121" s="276" t="str">
        <f>IFERROR(IF(C121*D121&gt;0,C121*D121,""),"")</f>
        <v/>
      </c>
      <c r="F121" s="276"/>
      <c r="G121" s="261" t="str">
        <f>IFERROR(IF(_xlfn.XLOOKUP(B121, 'Asset Class Tables and Dropdown'!$A$3:$A$1001, 'Asset Class Tables and Dropdown'!$D$3:$D$1001)=0, "", _xlfn.XLOOKUP(B121, 'Asset Class Tables and Dropdown'!$A$3:$A$1001, 'Asset Class Tables and Dropdown'!$D$3:$D$1001)), "")</f>
        <v>Low</v>
      </c>
      <c r="H121" s="261" t="str">
        <f>IFERROR(IF(_xlfn.XLOOKUP(B121, 'Asset Class Tables and Dropdown'!$A$3:$A$1001, 'Asset Class Tables and Dropdown'!$E$3:$E$1001)=0, "", _xlfn.XLOOKUP(B121, 'Asset Class Tables and Dropdown'!$A$3:$A$1001, 'Asset Class Tables and Dropdown'!$E$3:$E$1001)),"")</f>
        <v>Aggressive</v>
      </c>
      <c r="I121" s="227">
        <f t="shared" ref="I121:I174" si="16">IF(C121="", 0, 1)</f>
        <v>0</v>
      </c>
      <c r="K121" s="213" t="str">
        <f t="shared" si="11"/>
        <v>Alkeon ACAP Strategic Fund</v>
      </c>
      <c r="L121" s="213"/>
      <c r="M121" s="213"/>
      <c r="N121" s="213"/>
      <c r="O121" s="213"/>
      <c r="P121" s="213"/>
      <c r="Q121" s="213"/>
      <c r="R121" s="213"/>
      <c r="S121" s="213"/>
      <c r="T121" s="213"/>
      <c r="U121" s="213"/>
    </row>
    <row r="122" spans="2:21" ht="26" hidden="1" customHeight="1">
      <c r="B122" s="270" t="s">
        <v>316</v>
      </c>
      <c r="C122" s="274" t="str">
        <f>IFERROR(IF(_xlfn.XLOOKUP(B122, Table33[Investment Name], Table33[Override Investment Amount]) = 0, IF(_xlfn.XLOOKUP('Investment Proposal'!B122, Table33[Investment Name], Table33[Sum]) = 0, "", _xlfn.XLOOKUP('Investment Proposal'!B122, Table33[Investment Name], Table33[Sum])), _xlfn.XLOOKUP('Investment Proposal'!B122, Table33[Investment Name], Table33[Override Investment Amount])), "")</f>
        <v/>
      </c>
      <c r="D122" s="275">
        <f>IFERROR(_xlfn.XLOOKUP(B122, 'Asset Class Tables and Dropdown'!$A$3:$A$1001, 'Asset Class Tables and Dropdown'!$C$3:$C$1001),"")</f>
        <v>0</v>
      </c>
      <c r="E122" s="276" t="str">
        <f t="shared" ref="E122:E174" si="17">IFERROR(IF(C122*D122&gt;0,C122*D122,""),"")</f>
        <v/>
      </c>
      <c r="F122" s="276"/>
      <c r="G122" s="261" t="str">
        <f>IFERROR(IF(_xlfn.XLOOKUP(B122, 'Asset Class Tables and Dropdown'!$A$3:$A$1001, 'Asset Class Tables and Dropdown'!$D$3:$D$1001)=0, "", _xlfn.XLOOKUP(B122, 'Asset Class Tables and Dropdown'!$A$3:$A$1001, 'Asset Class Tables and Dropdown'!$D$3:$D$1001)), "")</f>
        <v>High</v>
      </c>
      <c r="H122" s="261" t="str">
        <f>IFERROR(IF(_xlfn.XLOOKUP(B122, 'Asset Class Tables and Dropdown'!$A$3:$A$1001, 'Asset Class Tables and Dropdown'!$E$3:$E$1001)=0, "", _xlfn.XLOOKUP(B122, 'Asset Class Tables and Dropdown'!$A$3:$A$1001, 'Asset Class Tables and Dropdown'!$E$3:$E$1001)),"")</f>
        <v>Aggressive</v>
      </c>
      <c r="I122" s="227">
        <f t="shared" si="16"/>
        <v>0</v>
      </c>
      <c r="K122" s="213" t="str">
        <f t="shared" si="11"/>
        <v xml:space="preserve">Advanced Micro Devices </v>
      </c>
      <c r="L122" s="213"/>
      <c r="M122" s="213"/>
      <c r="N122" s="213"/>
      <c r="O122" s="213"/>
      <c r="P122" s="213"/>
      <c r="Q122" s="213"/>
      <c r="R122" s="213"/>
      <c r="S122" s="213"/>
      <c r="T122" s="213"/>
      <c r="U122" s="213"/>
    </row>
    <row r="123" spans="2:21" ht="26" hidden="1" customHeight="1">
      <c r="B123" s="270" t="s">
        <v>318</v>
      </c>
      <c r="C123" s="274" t="str">
        <f>IFERROR(IF(_xlfn.XLOOKUP(B123, Table33[Investment Name], Table33[Override Investment Amount]) = 0, IF(_xlfn.XLOOKUP('Investment Proposal'!B123, Table33[Investment Name], Table33[Sum]) = 0, "", _xlfn.XLOOKUP('Investment Proposal'!B123, Table33[Investment Name], Table33[Sum])), _xlfn.XLOOKUP('Investment Proposal'!B123, Table33[Investment Name], Table33[Override Investment Amount])), "")</f>
        <v/>
      </c>
      <c r="D123" s="275">
        <f>IFERROR(_xlfn.XLOOKUP(B123, 'Asset Class Tables and Dropdown'!$A$3:$A$1001, 'Asset Class Tables and Dropdown'!$C$3:$C$1001),"")</f>
        <v>0</v>
      </c>
      <c r="E123" s="276" t="str">
        <f t="shared" si="17"/>
        <v/>
      </c>
      <c r="F123" s="276"/>
      <c r="G123" s="261" t="str">
        <f>IFERROR(IF(_xlfn.XLOOKUP(B123, 'Asset Class Tables and Dropdown'!$A$3:$A$1001, 'Asset Class Tables and Dropdown'!$D$3:$D$1001)=0, "", _xlfn.XLOOKUP(B123, 'Asset Class Tables and Dropdown'!$A$3:$A$1001, 'Asset Class Tables and Dropdown'!$D$3:$D$1001)), "")</f>
        <v>High</v>
      </c>
      <c r="H123" s="261" t="str">
        <f>IFERROR(IF(_xlfn.XLOOKUP(B123, 'Asset Class Tables and Dropdown'!$A$3:$A$1001, 'Asset Class Tables and Dropdown'!$E$3:$E$1001)=0, "", _xlfn.XLOOKUP(B123, 'Asset Class Tables and Dropdown'!$A$3:$A$1001, 'Asset Class Tables and Dropdown'!$E$3:$E$1001)),"")</f>
        <v>Aggressive</v>
      </c>
      <c r="I123" s="227">
        <f t="shared" si="16"/>
        <v>0</v>
      </c>
      <c r="K123" s="213" t="str">
        <f t="shared" si="11"/>
        <v>American Airlines</v>
      </c>
      <c r="L123" s="213"/>
      <c r="M123" s="213"/>
      <c r="N123" s="213"/>
      <c r="O123" s="213"/>
      <c r="P123" s="213"/>
      <c r="Q123" s="213"/>
      <c r="R123" s="213"/>
      <c r="S123" s="213"/>
      <c r="T123" s="213"/>
      <c r="U123" s="213"/>
    </row>
    <row r="124" spans="2:21" ht="26" hidden="1" customHeight="1">
      <c r="B124" s="270" t="s">
        <v>322</v>
      </c>
      <c r="C124" s="274" t="str">
        <f>IFERROR(IF(_xlfn.XLOOKUP(B124, Table33[Investment Name], Table33[Override Investment Amount]) = 0, IF(_xlfn.XLOOKUP('Investment Proposal'!B124, Table33[Investment Name], Table33[Sum]) = 0, "", _xlfn.XLOOKUP('Investment Proposal'!B124, Table33[Investment Name], Table33[Sum])), _xlfn.XLOOKUP('Investment Proposal'!B124, Table33[Investment Name], Table33[Override Investment Amount])), "")</f>
        <v/>
      </c>
      <c r="D124" s="275">
        <f>IFERROR(_xlfn.XLOOKUP(B124, 'Asset Class Tables and Dropdown'!$A$3:$A$1001, 'Asset Class Tables and Dropdown'!$C$3:$C$1001),"")</f>
        <v>9.5699999999999993E-2</v>
      </c>
      <c r="E124" s="276" t="str">
        <f t="shared" si="17"/>
        <v/>
      </c>
      <c r="F124" s="276"/>
      <c r="G124" s="261" t="str">
        <f>IFERROR(IF(_xlfn.XLOOKUP(B124, 'Asset Class Tables and Dropdown'!$A$3:$A$1001, 'Asset Class Tables and Dropdown'!$D$3:$D$1001)=0, "", _xlfn.XLOOKUP(B124, 'Asset Class Tables and Dropdown'!$A$3:$A$1001, 'Asset Class Tables and Dropdown'!$D$3:$D$1001)), "")</f>
        <v>High</v>
      </c>
      <c r="H124" s="261" t="str">
        <f>IFERROR(IF(_xlfn.XLOOKUP(B124, 'Asset Class Tables and Dropdown'!$A$3:$A$1001, 'Asset Class Tables and Dropdown'!$E$3:$E$1001)=0, "", _xlfn.XLOOKUP(B124, 'Asset Class Tables and Dropdown'!$A$3:$A$1001, 'Asset Class Tables and Dropdown'!$E$3:$E$1001)),"")</f>
        <v>Aggressive</v>
      </c>
      <c r="I124" s="227">
        <f t="shared" si="16"/>
        <v>0</v>
      </c>
      <c r="K124" s="213" t="str">
        <f t="shared" si="11"/>
        <v>Ares Capital Corp.</v>
      </c>
      <c r="L124" s="213"/>
      <c r="M124" s="213"/>
      <c r="N124" s="213"/>
      <c r="O124" s="213"/>
      <c r="P124" s="213"/>
      <c r="Q124" s="213"/>
      <c r="R124" s="213"/>
      <c r="S124" s="213"/>
      <c r="T124" s="213"/>
      <c r="U124" s="213"/>
    </row>
    <row r="125" spans="2:21" ht="26" customHeight="1">
      <c r="B125" s="270" t="s">
        <v>124</v>
      </c>
      <c r="C125" s="274" t="str">
        <f>IFERROR(IF(_xlfn.XLOOKUP(B125, Table33[Investment Name], Table33[Override Investment Amount]) = 0, IF(_xlfn.XLOOKUP('Investment Proposal'!B125, Table33[Investment Name], Table33[Sum]) = 0, "", _xlfn.XLOOKUP('Investment Proposal'!B125, Table33[Investment Name], Table33[Sum])), _xlfn.XLOOKUP('Investment Proposal'!B125, Table33[Investment Name], Table33[Override Investment Amount])), "")</f>
        <v/>
      </c>
      <c r="D125" s="275">
        <f>IFERROR(_xlfn.XLOOKUP(B125, 'Asset Class Tables and Dropdown'!$A$3:$A$1001, 'Asset Class Tables and Dropdown'!$C$3:$C$1001),"")</f>
        <v>0</v>
      </c>
      <c r="E125" s="276" t="str">
        <f t="shared" si="17"/>
        <v/>
      </c>
      <c r="F125" s="276"/>
      <c r="G125" s="261" t="str">
        <f>IFERROR(IF(_xlfn.XLOOKUP(B125, 'Asset Class Tables and Dropdown'!$A$3:$A$1001, 'Asset Class Tables and Dropdown'!$D$3:$D$1001)=0, "", _xlfn.XLOOKUP(B125, 'Asset Class Tables and Dropdown'!$A$3:$A$1001, 'Asset Class Tables and Dropdown'!$D$3:$D$1001)), "")</f>
        <v>High</v>
      </c>
      <c r="H125" s="261" t="str">
        <f>IFERROR(IF(_xlfn.XLOOKUP(B125, 'Asset Class Tables and Dropdown'!$A$3:$A$1001, 'Asset Class Tables and Dropdown'!$E$3:$E$1001)=0, "", _xlfn.XLOOKUP(B125, 'Asset Class Tables and Dropdown'!$A$3:$A$1001, 'Asset Class Tables and Dropdown'!$E$3:$E$1001)),"")</f>
        <v>Aggressive</v>
      </c>
      <c r="I125" s="227">
        <f t="shared" si="16"/>
        <v>0</v>
      </c>
      <c r="K125" s="213" t="str">
        <f t="shared" si="11"/>
        <v xml:space="preserve">Ark Fintech Innovation ETF </v>
      </c>
      <c r="L125" s="213"/>
      <c r="M125" s="213"/>
      <c r="N125" s="213"/>
      <c r="O125" s="213"/>
      <c r="P125" s="213"/>
      <c r="Q125" s="213"/>
      <c r="R125" s="213"/>
      <c r="S125" s="213"/>
      <c r="T125" s="213"/>
      <c r="U125" s="213"/>
    </row>
    <row r="126" spans="2:21" ht="26" hidden="1" customHeight="1">
      <c r="B126" s="270" t="s">
        <v>457</v>
      </c>
      <c r="C126" s="274" t="str">
        <f>IFERROR(IF(_xlfn.XLOOKUP(B126, Table33[Investment Name], Table33[Override Investment Amount]) = 0, IF(_xlfn.XLOOKUP('Investment Proposal'!B126, Table33[Investment Name], Table33[Sum]) = 0, "", _xlfn.XLOOKUP('Investment Proposal'!B126, Table33[Investment Name], Table33[Sum])), _xlfn.XLOOKUP('Investment Proposal'!B126, Table33[Investment Name], Table33[Override Investment Amount])), "")</f>
        <v/>
      </c>
      <c r="D126" s="275">
        <f>IFERROR(_xlfn.XLOOKUP(B126, 'Asset Class Tables and Dropdown'!$A$3:$A$1001, 'Asset Class Tables and Dropdown'!$C$3:$C$1001),"")</f>
        <v>0</v>
      </c>
      <c r="E126" s="276" t="str">
        <f t="shared" si="17"/>
        <v/>
      </c>
      <c r="F126" s="276"/>
      <c r="G126" s="261" t="str">
        <f>IFERROR(IF(_xlfn.XLOOKUP(B126, 'Asset Class Tables and Dropdown'!$A$3:$A$1001, 'Asset Class Tables and Dropdown'!$D$3:$D$1001)=0, "", _xlfn.XLOOKUP(B126, 'Asset Class Tables and Dropdown'!$A$3:$A$1001, 'Asset Class Tables and Dropdown'!$D$3:$D$1001)), "")</f>
        <v>High</v>
      </c>
      <c r="H126" s="261" t="str">
        <f>IFERROR(IF(_xlfn.XLOOKUP(B126, 'Asset Class Tables and Dropdown'!$A$3:$A$1001, 'Asset Class Tables and Dropdown'!$E$3:$E$1001)=0, "", _xlfn.XLOOKUP(B126, 'Asset Class Tables and Dropdown'!$A$3:$A$1001, 'Asset Class Tables and Dropdown'!$E$3:$E$1001)),"")</f>
        <v>Aggressive</v>
      </c>
      <c r="I126" s="227">
        <f t="shared" si="16"/>
        <v>0</v>
      </c>
      <c r="K126" s="213" t="str">
        <f t="shared" si="11"/>
        <v>BlackRock Health Sciences</v>
      </c>
      <c r="L126" s="213"/>
      <c r="M126" s="213"/>
      <c r="N126" s="213"/>
      <c r="O126" s="213"/>
      <c r="P126" s="213"/>
      <c r="Q126" s="213"/>
      <c r="R126" s="213"/>
      <c r="S126" s="213"/>
      <c r="T126" s="213"/>
      <c r="U126" s="213"/>
    </row>
    <row r="127" spans="2:21" ht="26" hidden="1" customHeight="1">
      <c r="B127" s="270" t="s">
        <v>458</v>
      </c>
      <c r="C127" s="274" t="str">
        <f>IFERROR(IF(_xlfn.XLOOKUP(B127, Table33[Investment Name], Table33[Override Investment Amount]) = 0, IF(_xlfn.XLOOKUP('Investment Proposal'!B127, Table33[Investment Name], Table33[Sum]) = 0, "", _xlfn.XLOOKUP('Investment Proposal'!B127, Table33[Investment Name], Table33[Sum])), _xlfn.XLOOKUP('Investment Proposal'!B127, Table33[Investment Name], Table33[Override Investment Amount])), "")</f>
        <v/>
      </c>
      <c r="D127" s="275">
        <f>IFERROR(_xlfn.XLOOKUP(B127, 'Asset Class Tables and Dropdown'!$A$3:$A$1001, 'Asset Class Tables and Dropdown'!$C$3:$C$1001),"")</f>
        <v>0</v>
      </c>
      <c r="E127" s="276" t="str">
        <f t="shared" si="17"/>
        <v/>
      </c>
      <c r="F127" s="276"/>
      <c r="G127" s="261" t="str">
        <f>IFERROR(IF(_xlfn.XLOOKUP(B127, 'Asset Class Tables and Dropdown'!$A$3:$A$1001, 'Asset Class Tables and Dropdown'!$D$3:$D$1001)=0, "", _xlfn.XLOOKUP(B127, 'Asset Class Tables and Dropdown'!$A$3:$A$1001, 'Asset Class Tables and Dropdown'!$D$3:$D$1001)), "")</f>
        <v>High</v>
      </c>
      <c r="H127" s="261" t="str">
        <f>IFERROR(IF(_xlfn.XLOOKUP(B127, 'Asset Class Tables and Dropdown'!$A$3:$A$1001, 'Asset Class Tables and Dropdown'!$E$3:$E$1001)=0, "", _xlfn.XLOOKUP(B127, 'Asset Class Tables and Dropdown'!$A$3:$A$1001, 'Asset Class Tables and Dropdown'!$E$3:$E$1001)),"")</f>
        <v>Aggressive</v>
      </c>
      <c r="I127" s="227">
        <f t="shared" si="16"/>
        <v>0</v>
      </c>
      <c r="K127" s="213" t="str">
        <f t="shared" si="11"/>
        <v>Bluerock Residential Growth</v>
      </c>
      <c r="L127" s="213"/>
      <c r="M127" s="213"/>
      <c r="N127" s="213"/>
      <c r="O127" s="213"/>
      <c r="P127" s="213"/>
      <c r="Q127" s="213"/>
      <c r="R127" s="213"/>
      <c r="S127" s="213"/>
      <c r="T127" s="213"/>
      <c r="U127" s="213"/>
    </row>
    <row r="128" spans="2:21" ht="26" hidden="1" customHeight="1">
      <c r="B128" s="270" t="s">
        <v>339</v>
      </c>
      <c r="C128" s="274" t="str">
        <f>IFERROR(IF(_xlfn.XLOOKUP(B128, Table33[Investment Name], Table33[Override Investment Amount]) = 0, IF(_xlfn.XLOOKUP('Investment Proposal'!B128, Table33[Investment Name], Table33[Sum]) = 0, "", _xlfn.XLOOKUP('Investment Proposal'!B128, Table33[Investment Name], Table33[Sum])), _xlfn.XLOOKUP('Investment Proposal'!B128, Table33[Investment Name], Table33[Override Investment Amount])), "")</f>
        <v/>
      </c>
      <c r="D128" s="275">
        <f>IFERROR(_xlfn.XLOOKUP(B128, 'Asset Class Tables and Dropdown'!$A$3:$A$1001, 'Asset Class Tables and Dropdown'!$C$3:$C$1001),"")</f>
        <v>0</v>
      </c>
      <c r="E128" s="276" t="str">
        <f t="shared" si="17"/>
        <v/>
      </c>
      <c r="F128" s="276"/>
      <c r="G128" s="261" t="str">
        <f>IFERROR(IF(_xlfn.XLOOKUP(B128, 'Asset Class Tables and Dropdown'!$A$3:$A$1001, 'Asset Class Tables and Dropdown'!$D$3:$D$1001)=0, "", _xlfn.XLOOKUP(B128, 'Asset Class Tables and Dropdown'!$A$3:$A$1001, 'Asset Class Tables and Dropdown'!$D$3:$D$1001)), "")</f>
        <v>High</v>
      </c>
      <c r="H128" s="261" t="str">
        <f>IFERROR(IF(_xlfn.XLOOKUP(B128, 'Asset Class Tables and Dropdown'!$A$3:$A$1001, 'Asset Class Tables and Dropdown'!$E$3:$E$1001)=0, "", _xlfn.XLOOKUP(B128, 'Asset Class Tables and Dropdown'!$A$3:$A$1001, 'Asset Class Tables and Dropdown'!$E$3:$E$1001)),"")</f>
        <v>Aggressive</v>
      </c>
      <c r="I128" s="227">
        <f t="shared" si="16"/>
        <v>0</v>
      </c>
      <c r="K128" s="213" t="str">
        <f t="shared" si="11"/>
        <v>Carnival Corp</v>
      </c>
      <c r="L128" s="213"/>
      <c r="M128" s="213"/>
      <c r="N128" s="213"/>
      <c r="O128" s="213"/>
      <c r="P128" s="213"/>
      <c r="Q128" s="213"/>
      <c r="R128" s="213"/>
      <c r="S128" s="213"/>
      <c r="T128" s="213"/>
      <c r="U128" s="213"/>
    </row>
    <row r="129" spans="2:21" ht="26" hidden="1" customHeight="1">
      <c r="B129" s="270" t="s">
        <v>459</v>
      </c>
      <c r="C129" s="274" t="str">
        <f>IFERROR(IF(_xlfn.XLOOKUP(B129, Table33[Investment Name], Table33[Override Investment Amount]) = 0, IF(_xlfn.XLOOKUP('Investment Proposal'!B129, Table33[Investment Name], Table33[Sum]) = 0, "", _xlfn.XLOOKUP('Investment Proposal'!B129, Table33[Investment Name], Table33[Sum])), _xlfn.XLOOKUP('Investment Proposal'!B129, Table33[Investment Name], Table33[Override Investment Amount])), "")</f>
        <v/>
      </c>
      <c r="D129" s="275">
        <f>IFERROR(_xlfn.XLOOKUP(B129, 'Asset Class Tables and Dropdown'!$A$3:$A$1001, 'Asset Class Tables and Dropdown'!$C$3:$C$1001),"")</f>
        <v>0</v>
      </c>
      <c r="E129" s="276" t="str">
        <f t="shared" si="17"/>
        <v/>
      </c>
      <c r="F129" s="276"/>
      <c r="G129" s="261" t="str">
        <f>IFERROR(IF(_xlfn.XLOOKUP(B129, 'Asset Class Tables and Dropdown'!$A$3:$A$1001, 'Asset Class Tables and Dropdown'!$D$3:$D$1001)=0, "", _xlfn.XLOOKUP(B129, 'Asset Class Tables and Dropdown'!$A$3:$A$1001, 'Asset Class Tables and Dropdown'!$D$3:$D$1001)), "")</f>
        <v xml:space="preserve">High </v>
      </c>
      <c r="H129" s="261" t="str">
        <f>IFERROR(IF(_xlfn.XLOOKUP(B129, 'Asset Class Tables and Dropdown'!$A$3:$A$1001, 'Asset Class Tables and Dropdown'!$E$3:$E$1001)=0, "", _xlfn.XLOOKUP(B129, 'Asset Class Tables and Dropdown'!$A$3:$A$1001, 'Asset Class Tables and Dropdown'!$E$3:$E$1001)),"")</f>
        <v>Aggressive</v>
      </c>
      <c r="I129" s="227">
        <f t="shared" si="16"/>
        <v>0</v>
      </c>
      <c r="K129" s="213" t="str">
        <f t="shared" si="11"/>
        <v>ClearBridge International Growth Fund</v>
      </c>
      <c r="L129" s="213"/>
      <c r="M129" s="213"/>
      <c r="N129" s="213"/>
      <c r="O129" s="213"/>
      <c r="P129" s="213"/>
      <c r="Q129" s="213"/>
      <c r="R129" s="213"/>
      <c r="S129" s="213"/>
      <c r="T129" s="213"/>
      <c r="U129" s="213"/>
    </row>
    <row r="130" spans="2:21" ht="26" hidden="1" customHeight="1">
      <c r="B130" s="270" t="s">
        <v>347</v>
      </c>
      <c r="C130" s="274" t="str">
        <f>IFERROR(IF(_xlfn.XLOOKUP(B130, Table33[Investment Name], Table33[Override Investment Amount]) = 0, IF(_xlfn.XLOOKUP('Investment Proposal'!B130, Table33[Investment Name], Table33[Sum]) = 0, "", _xlfn.XLOOKUP('Investment Proposal'!B130, Table33[Investment Name], Table33[Sum])), _xlfn.XLOOKUP('Investment Proposal'!B130, Table33[Investment Name], Table33[Override Investment Amount])), "")</f>
        <v/>
      </c>
      <c r="D130" s="275">
        <f>IFERROR(_xlfn.XLOOKUP(B130, 'Asset Class Tables and Dropdown'!$A$3:$A$1001, 'Asset Class Tables and Dropdown'!$C$3:$C$1001),"")</f>
        <v>0</v>
      </c>
      <c r="E130" s="276" t="str">
        <f t="shared" si="17"/>
        <v/>
      </c>
      <c r="F130" s="276"/>
      <c r="G130" s="261" t="str">
        <f>IFERROR(IF(_xlfn.XLOOKUP(B130, 'Asset Class Tables and Dropdown'!$A$3:$A$1001, 'Asset Class Tables and Dropdown'!$D$3:$D$1001)=0, "", _xlfn.XLOOKUP(B130, 'Asset Class Tables and Dropdown'!$A$3:$A$1001, 'Asset Class Tables and Dropdown'!$D$3:$D$1001)), "")</f>
        <v xml:space="preserve">High </v>
      </c>
      <c r="H130" s="261" t="str">
        <f>IFERROR(IF(_xlfn.XLOOKUP(B130, 'Asset Class Tables and Dropdown'!$A$3:$A$1001, 'Asset Class Tables and Dropdown'!$E$3:$E$1001)=0, "", _xlfn.XLOOKUP(B130, 'Asset Class Tables and Dropdown'!$A$3:$A$1001, 'Asset Class Tables and Dropdown'!$E$3:$E$1001)),"")</f>
        <v>Aggressive</v>
      </c>
      <c r="I130" s="227">
        <f t="shared" si="16"/>
        <v>0</v>
      </c>
      <c r="K130" s="213" t="str">
        <f t="shared" si="11"/>
        <v>Crowdstrike Holdings Inc</v>
      </c>
      <c r="L130" s="213"/>
      <c r="M130" s="213"/>
      <c r="N130" s="213"/>
      <c r="O130" s="213"/>
      <c r="P130" s="213"/>
      <c r="Q130" s="213"/>
      <c r="R130" s="213"/>
      <c r="S130" s="213"/>
      <c r="T130" s="213"/>
      <c r="U130" s="213"/>
    </row>
    <row r="131" spans="2:21" ht="26" hidden="1" customHeight="1">
      <c r="B131" s="270" t="s">
        <v>349</v>
      </c>
      <c r="C131" s="274" t="str">
        <f>IFERROR(IF(_xlfn.XLOOKUP(B131, Table33[Investment Name], Table33[Override Investment Amount]) = 0, IF(_xlfn.XLOOKUP('Investment Proposal'!B131, Table33[Investment Name], Table33[Sum]) = 0, "", _xlfn.XLOOKUP('Investment Proposal'!B131, Table33[Investment Name], Table33[Sum])), _xlfn.XLOOKUP('Investment Proposal'!B131, Table33[Investment Name], Table33[Override Investment Amount])), "")</f>
        <v/>
      </c>
      <c r="D131" s="275">
        <f>IFERROR(_xlfn.XLOOKUP(B131, 'Asset Class Tables and Dropdown'!$A$3:$A$1001, 'Asset Class Tables and Dropdown'!$C$3:$C$1001),"")</f>
        <v>0</v>
      </c>
      <c r="E131" s="276" t="str">
        <f t="shared" si="17"/>
        <v/>
      </c>
      <c r="F131" s="276"/>
      <c r="G131" s="261" t="str">
        <f>IFERROR(IF(_xlfn.XLOOKUP(B131, 'Asset Class Tables and Dropdown'!$A$3:$A$1001, 'Asset Class Tables and Dropdown'!$D$3:$D$1001)=0, "", _xlfn.XLOOKUP(B131, 'Asset Class Tables and Dropdown'!$A$3:$A$1001, 'Asset Class Tables and Dropdown'!$D$3:$D$1001)), "")</f>
        <v>High</v>
      </c>
      <c r="H131" s="261" t="str">
        <f>IFERROR(IF(_xlfn.XLOOKUP(B131, 'Asset Class Tables and Dropdown'!$A$3:$A$1001, 'Asset Class Tables and Dropdown'!$E$3:$E$1001)=0, "", _xlfn.XLOOKUP(B131, 'Asset Class Tables and Dropdown'!$A$3:$A$1001, 'Asset Class Tables and Dropdown'!$E$3:$E$1001)),"")</f>
        <v>Aggressive</v>
      </c>
      <c r="I131" s="227">
        <f t="shared" si="16"/>
        <v>0</v>
      </c>
      <c r="K131" s="213" t="str">
        <f t="shared" si="11"/>
        <v>Delta Airlines</v>
      </c>
      <c r="L131" s="213"/>
      <c r="M131" s="213"/>
      <c r="N131" s="213"/>
      <c r="O131" s="213"/>
      <c r="P131" s="213"/>
      <c r="Q131" s="213"/>
      <c r="R131" s="213"/>
      <c r="S131" s="213"/>
      <c r="T131" s="213"/>
      <c r="U131" s="213"/>
    </row>
    <row r="132" spans="2:21" ht="26" hidden="1" customHeight="1">
      <c r="B132" s="270" t="s">
        <v>358</v>
      </c>
      <c r="C132" s="274" t="str">
        <f>IFERROR(IF(_xlfn.XLOOKUP(B132, Table33[Investment Name], Table33[Override Investment Amount]) = 0, IF(_xlfn.XLOOKUP('Investment Proposal'!B132, Table33[Investment Name], Table33[Sum]) = 0, "", _xlfn.XLOOKUP('Investment Proposal'!B132, Table33[Investment Name], Table33[Sum])), _xlfn.XLOOKUP('Investment Proposal'!B132, Table33[Investment Name], Table33[Override Investment Amount])), "")</f>
        <v/>
      </c>
      <c r="D132" s="275">
        <f>IFERROR(_xlfn.XLOOKUP(B132, 'Asset Class Tables and Dropdown'!$A$3:$A$1001, 'Asset Class Tables and Dropdown'!$C$3:$C$1001),"")</f>
        <v>0.13389999999999999</v>
      </c>
      <c r="E132" s="276" t="str">
        <f t="shared" si="17"/>
        <v/>
      </c>
      <c r="F132" s="276"/>
      <c r="G132" s="261" t="str">
        <f>IFERROR(IF(_xlfn.XLOOKUP(B132, 'Asset Class Tables and Dropdown'!$A$3:$A$1001, 'Asset Class Tables and Dropdown'!$D$3:$D$1001)=0, "", _xlfn.XLOOKUP(B132, 'Asset Class Tables and Dropdown'!$A$3:$A$1001, 'Asset Class Tables and Dropdown'!$D$3:$D$1001)), "")</f>
        <v>High</v>
      </c>
      <c r="H132" s="261" t="str">
        <f>IFERROR(IF(_xlfn.XLOOKUP(B132, 'Asset Class Tables and Dropdown'!$A$3:$A$1001, 'Asset Class Tables and Dropdown'!$E$3:$E$1001)=0, "", _xlfn.XLOOKUP(B132, 'Asset Class Tables and Dropdown'!$A$3:$A$1001, 'Asset Class Tables and Dropdown'!$E$3:$E$1001)),"")</f>
        <v>Aggressive</v>
      </c>
      <c r="I132" s="227">
        <f t="shared" si="16"/>
        <v>0</v>
      </c>
      <c r="K132" s="213" t="str">
        <f t="shared" si="11"/>
        <v>FS KKR Capital Corp.</v>
      </c>
      <c r="L132" s="213"/>
      <c r="M132" s="213"/>
      <c r="N132" s="213"/>
      <c r="O132" s="213"/>
      <c r="P132" s="213"/>
      <c r="Q132" s="213"/>
      <c r="R132" s="213"/>
      <c r="S132" s="213"/>
      <c r="T132" s="213"/>
      <c r="U132" s="213"/>
    </row>
    <row r="133" spans="2:21" ht="26" hidden="1" customHeight="1">
      <c r="B133" s="270" t="s">
        <v>460</v>
      </c>
      <c r="C133" s="274" t="str">
        <f>IFERROR(IF(_xlfn.XLOOKUP(B133, Table33[Investment Name], Table33[Override Investment Amount]) = 0, IF(_xlfn.XLOOKUP('Investment Proposal'!B133, Table33[Investment Name], Table33[Sum]) = 0, "", _xlfn.XLOOKUP('Investment Proposal'!B133, Table33[Investment Name], Table33[Sum])), _xlfn.XLOOKUP('Investment Proposal'!B133, Table33[Investment Name], Table33[Override Investment Amount])), "")</f>
        <v/>
      </c>
      <c r="D133" s="275">
        <f>IFERROR(_xlfn.XLOOKUP(B133, 'Asset Class Tables and Dropdown'!$A$3:$A$1001, 'Asset Class Tables and Dropdown'!$C$3:$C$1001),"")</f>
        <v>0</v>
      </c>
      <c r="E133" s="276" t="str">
        <f t="shared" si="17"/>
        <v/>
      </c>
      <c r="F133" s="276"/>
      <c r="G133" s="261" t="str">
        <f>IFERROR(IF(_xlfn.XLOOKUP(B133, 'Asset Class Tables and Dropdown'!$A$3:$A$1001, 'Asset Class Tables and Dropdown'!$D$3:$D$1001)=0, "", _xlfn.XLOOKUP(B133, 'Asset Class Tables and Dropdown'!$A$3:$A$1001, 'Asset Class Tables and Dropdown'!$D$3:$D$1001)), "")</f>
        <v>Mid</v>
      </c>
      <c r="H133" s="261" t="str">
        <f>IFERROR(IF(_xlfn.XLOOKUP(B133, 'Asset Class Tables and Dropdown'!$A$3:$A$1001, 'Asset Class Tables and Dropdown'!$E$3:$E$1001)=0, "", _xlfn.XLOOKUP(B133, 'Asset Class Tables and Dropdown'!$A$3:$A$1001, 'Asset Class Tables and Dropdown'!$E$3:$E$1001)),"")</f>
        <v>Moderate/Aggressive</v>
      </c>
      <c r="I133" s="227">
        <f t="shared" si="16"/>
        <v>0</v>
      </c>
      <c r="K133" s="213" t="str">
        <f t="shared" si="11"/>
        <v>First Trust S&amp;P Barrier Note</v>
      </c>
      <c r="L133" s="213"/>
      <c r="M133" s="213"/>
      <c r="N133" s="213"/>
      <c r="O133" s="213"/>
      <c r="P133" s="213"/>
      <c r="Q133" s="213"/>
      <c r="R133" s="213"/>
      <c r="S133" s="213"/>
      <c r="T133" s="213"/>
      <c r="U133" s="213"/>
    </row>
    <row r="134" spans="2:21" ht="26" hidden="1" customHeight="1">
      <c r="B134" s="270" t="s">
        <v>359</v>
      </c>
      <c r="C134" s="274" t="str">
        <f>IFERROR(IF(_xlfn.XLOOKUP(B134, Table33[Investment Name], Table33[Override Investment Amount]) = 0, IF(_xlfn.XLOOKUP('Investment Proposal'!B134, Table33[Investment Name], Table33[Sum]) = 0, "", _xlfn.XLOOKUP('Investment Proposal'!B134, Table33[Investment Name], Table33[Sum])), _xlfn.XLOOKUP('Investment Proposal'!B134, Table33[Investment Name], Table33[Override Investment Amount])), "")</f>
        <v/>
      </c>
      <c r="D134" s="275">
        <f>IFERROR(_xlfn.XLOOKUP(B134, 'Asset Class Tables and Dropdown'!$A$3:$A$1001, 'Asset Class Tables and Dropdown'!$C$3:$C$1001),"")</f>
        <v>6.4299999999999996E-2</v>
      </c>
      <c r="E134" s="276" t="str">
        <f t="shared" si="17"/>
        <v/>
      </c>
      <c r="F134" s="276"/>
      <c r="G134" s="261" t="str">
        <f>IFERROR(IF(_xlfn.XLOOKUP(B134, 'Asset Class Tables and Dropdown'!$A$3:$A$1001, 'Asset Class Tables and Dropdown'!$D$3:$D$1001)=0, "", _xlfn.XLOOKUP(B134, 'Asset Class Tables and Dropdown'!$A$3:$A$1001, 'Asset Class Tables and Dropdown'!$D$3:$D$1001)), "")</f>
        <v>High</v>
      </c>
      <c r="H134" s="261" t="str">
        <f>IFERROR(IF(_xlfn.XLOOKUP(B134, 'Asset Class Tables and Dropdown'!$A$3:$A$1001, 'Asset Class Tables and Dropdown'!$E$3:$E$1001)=0, "", _xlfn.XLOOKUP(B134, 'Asset Class Tables and Dropdown'!$A$3:$A$1001, 'Asset Class Tables and Dropdown'!$E$3:$E$1001)),"")</f>
        <v>Aggressive</v>
      </c>
      <c r="I134" s="227">
        <f t="shared" si="16"/>
        <v>0</v>
      </c>
      <c r="K134" s="213" t="str">
        <f t="shared" si="11"/>
        <v>FT Cboe Vest S&amp;P 500 Dividend Aristocrats Target Income ETF</v>
      </c>
      <c r="L134" s="213"/>
      <c r="M134" s="213"/>
      <c r="N134" s="213"/>
      <c r="O134" s="213"/>
      <c r="P134" s="213"/>
      <c r="Q134" s="213"/>
      <c r="R134" s="213"/>
      <c r="S134" s="213"/>
      <c r="T134" s="213"/>
      <c r="U134" s="213"/>
    </row>
    <row r="135" spans="2:21" ht="26" hidden="1" customHeight="1">
      <c r="B135" s="270" t="s">
        <v>355</v>
      </c>
      <c r="C135" s="274" t="str">
        <f>IFERROR(IF(_xlfn.XLOOKUP(B135, Table33[Investment Name], Table33[Override Investment Amount]) = 0, IF(_xlfn.XLOOKUP('Investment Proposal'!B135, Table33[Investment Name], Table33[Sum]) = 0, "", _xlfn.XLOOKUP('Investment Proposal'!B135, Table33[Investment Name], Table33[Sum])), _xlfn.XLOOKUP('Investment Proposal'!B135, Table33[Investment Name], Table33[Override Investment Amount])), "")</f>
        <v/>
      </c>
      <c r="D135" s="275">
        <f>IFERROR(_xlfn.XLOOKUP(B135, 'Asset Class Tables and Dropdown'!$A$3:$A$1001, 'Asset Class Tables and Dropdown'!$C$3:$C$1001),"")</f>
        <v>2.3099999999999999E-2</v>
      </c>
      <c r="E135" s="276" t="str">
        <f t="shared" si="17"/>
        <v/>
      </c>
      <c r="F135" s="276"/>
      <c r="G135" s="261" t="str">
        <f>IFERROR(IF(_xlfn.XLOOKUP(B135, 'Asset Class Tables and Dropdown'!$A$3:$A$1001, 'Asset Class Tables and Dropdown'!$D$3:$D$1001)=0, "", _xlfn.XLOOKUP(B135, 'Asset Class Tables and Dropdown'!$A$3:$A$1001, 'Asset Class Tables and Dropdown'!$D$3:$D$1001)), "")</f>
        <v>High</v>
      </c>
      <c r="H135" s="261" t="str">
        <f>IFERROR(IF(_xlfn.XLOOKUP(B135, 'Asset Class Tables and Dropdown'!$A$3:$A$1001, 'Asset Class Tables and Dropdown'!$E$3:$E$1001)=0, "", _xlfn.XLOOKUP(B135, 'Asset Class Tables and Dropdown'!$A$3:$A$1001, 'Asset Class Tables and Dropdown'!$E$3:$E$1001)),"")</f>
        <v>Aggressive</v>
      </c>
      <c r="I135" s="227">
        <f t="shared" si="16"/>
        <v>0</v>
      </c>
      <c r="K135" s="213" t="str">
        <f t="shared" si="11"/>
        <v>First Trust Rising Dividend Achievers</v>
      </c>
      <c r="L135" s="213"/>
      <c r="M135" s="213"/>
      <c r="N135" s="213"/>
      <c r="O135" s="213"/>
      <c r="P135" s="213"/>
      <c r="Q135" s="213"/>
      <c r="R135" s="213"/>
      <c r="S135" s="213"/>
      <c r="T135" s="213"/>
      <c r="U135" s="213"/>
    </row>
    <row r="136" spans="2:21" ht="26" hidden="1" customHeight="1">
      <c r="B136" s="270" t="s">
        <v>125</v>
      </c>
      <c r="C136" s="274" t="str">
        <f>IFERROR(IF(_xlfn.XLOOKUP(B136, Table33[Investment Name], Table33[Override Investment Amount]) = 0, IF(_xlfn.XLOOKUP('Investment Proposal'!B136, Table33[Investment Name], Table33[Sum]) = 0, "", _xlfn.XLOOKUP('Investment Proposal'!B136, Table33[Investment Name], Table33[Sum])), _xlfn.XLOOKUP('Investment Proposal'!B136, Table33[Investment Name], Table33[Override Investment Amount])), "")</f>
        <v/>
      </c>
      <c r="D136" s="275">
        <f>IFERROR(_xlfn.XLOOKUP(B136, 'Asset Class Tables and Dropdown'!$A$3:$A$1001, 'Asset Class Tables and Dropdown'!$C$3:$C$1001),"")</f>
        <v>9.5699999999999993E-2</v>
      </c>
      <c r="E136" s="276" t="str">
        <f t="shared" si="17"/>
        <v/>
      </c>
      <c r="F136" s="276"/>
      <c r="G136" s="261" t="str">
        <f>IFERROR(IF(_xlfn.XLOOKUP(B136, 'Asset Class Tables and Dropdown'!$A$3:$A$1001, 'Asset Class Tables and Dropdown'!$D$3:$D$1001)=0, "", _xlfn.XLOOKUP(B136, 'Asset Class Tables and Dropdown'!$A$3:$A$1001, 'Asset Class Tables and Dropdown'!$D$3:$D$1001)), "")</f>
        <v>High</v>
      </c>
      <c r="H136" s="261" t="str">
        <f>IFERROR(IF(_xlfn.XLOOKUP(B136, 'Asset Class Tables and Dropdown'!$A$3:$A$1001, 'Asset Class Tables and Dropdown'!$E$3:$E$1001)=0, "", _xlfn.XLOOKUP(B136, 'Asset Class Tables and Dropdown'!$A$3:$A$1001, 'Asset Class Tables and Dropdown'!$E$3:$E$1001)),"")</f>
        <v>Aggressive</v>
      </c>
      <c r="I136" s="227">
        <f t="shared" si="16"/>
        <v>0</v>
      </c>
      <c r="K136" s="213" t="str">
        <f t="shared" si="11"/>
        <v>Golub Capital BDC</v>
      </c>
      <c r="L136" s="213"/>
      <c r="M136" s="213"/>
      <c r="N136" s="213"/>
      <c r="O136" s="213"/>
      <c r="P136" s="213"/>
      <c r="Q136" s="213"/>
      <c r="R136" s="213"/>
      <c r="S136" s="213"/>
      <c r="T136" s="213"/>
      <c r="U136" s="213"/>
    </row>
    <row r="137" spans="2:21" ht="26" hidden="1" customHeight="1">
      <c r="B137" s="270" t="s">
        <v>461</v>
      </c>
      <c r="C137" s="274" t="str">
        <f>IFERROR(IF(_xlfn.XLOOKUP(B137, Table33[Investment Name], Table33[Override Investment Amount]) = 0, IF(_xlfn.XLOOKUP('Investment Proposal'!B137, Table33[Investment Name], Table33[Sum]) = 0, "", _xlfn.XLOOKUP('Investment Proposal'!B137, Table33[Investment Name], Table33[Sum])), _xlfn.XLOOKUP('Investment Proposal'!B137, Table33[Investment Name], Table33[Override Investment Amount])), "")</f>
        <v/>
      </c>
      <c r="D137" s="275">
        <f>IFERROR(_xlfn.XLOOKUP(B137, 'Asset Class Tables and Dropdown'!$A$3:$A$1001, 'Asset Class Tables and Dropdown'!$C$3:$C$1001),"")</f>
        <v>0</v>
      </c>
      <c r="E137" s="276" t="str">
        <f t="shared" si="17"/>
        <v/>
      </c>
      <c r="F137" s="276"/>
      <c r="G137" s="261" t="str">
        <f>IFERROR(IF(_xlfn.XLOOKUP(B137, 'Asset Class Tables and Dropdown'!$A$3:$A$1001, 'Asset Class Tables and Dropdown'!$D$3:$D$1001)=0, "", _xlfn.XLOOKUP(B137, 'Asset Class Tables and Dropdown'!$A$3:$A$1001, 'Asset Class Tables and Dropdown'!$D$3:$D$1001)), "")</f>
        <v>High</v>
      </c>
      <c r="H137" s="261" t="str">
        <f>IFERROR(IF(_xlfn.XLOOKUP(B137, 'Asset Class Tables and Dropdown'!$A$3:$A$1001, 'Asset Class Tables and Dropdown'!$E$3:$E$1001)=0, "", _xlfn.XLOOKUP(B137, 'Asset Class Tables and Dropdown'!$A$3:$A$1001, 'Asset Class Tables and Dropdown'!$E$3:$E$1001)),"")</f>
        <v>Aggressive</v>
      </c>
      <c r="I137" s="227">
        <f t="shared" si="16"/>
        <v>0</v>
      </c>
      <c r="K137" s="213" t="str">
        <f t="shared" si="11"/>
        <v>Henry James International Select</v>
      </c>
      <c r="L137" s="213"/>
      <c r="M137" s="213"/>
      <c r="N137" s="213"/>
      <c r="O137" s="213"/>
      <c r="P137" s="213"/>
      <c r="Q137" s="213"/>
      <c r="R137" s="213"/>
      <c r="S137" s="213"/>
      <c r="T137" s="213"/>
      <c r="U137" s="213"/>
    </row>
    <row r="138" spans="2:21" ht="26" hidden="1" customHeight="1">
      <c r="B138" s="270" t="s">
        <v>462</v>
      </c>
      <c r="C138" s="274" t="str">
        <f>IFERROR(IF(_xlfn.XLOOKUP(B138, Table33[Investment Name], Table33[Override Investment Amount]) = 0, IF(_xlfn.XLOOKUP('Investment Proposal'!B138, Table33[Investment Name], Table33[Sum]) = 0, "", _xlfn.XLOOKUP('Investment Proposal'!B138, Table33[Investment Name], Table33[Sum])), _xlfn.XLOOKUP('Investment Proposal'!B138, Table33[Investment Name], Table33[Override Investment Amount])), "")</f>
        <v/>
      </c>
      <c r="D138" s="275">
        <f>IFERROR(_xlfn.XLOOKUP(B138, 'Asset Class Tables and Dropdown'!$A$3:$A$1001, 'Asset Class Tables and Dropdown'!$C$3:$C$1001),"")</f>
        <v>0</v>
      </c>
      <c r="E138" s="276" t="str">
        <f t="shared" si="17"/>
        <v/>
      </c>
      <c r="F138" s="276"/>
      <c r="G138" s="261" t="str">
        <f>IFERROR(IF(_xlfn.XLOOKUP(B138, 'Asset Class Tables and Dropdown'!$A$3:$A$1001, 'Asset Class Tables and Dropdown'!$D$3:$D$1001)=0, "", _xlfn.XLOOKUP(B138, 'Asset Class Tables and Dropdown'!$A$3:$A$1001, 'Asset Class Tables and Dropdown'!$D$3:$D$1001)), "")</f>
        <v>High</v>
      </c>
      <c r="H138" s="261" t="str">
        <f>IFERROR(IF(_xlfn.XLOOKUP(B138, 'Asset Class Tables and Dropdown'!$A$3:$A$1001, 'Asset Class Tables and Dropdown'!$E$3:$E$1001)=0, "", _xlfn.XLOOKUP(B138, 'Asset Class Tables and Dropdown'!$A$3:$A$1001, 'Asset Class Tables and Dropdown'!$E$3:$E$1001)),"")</f>
        <v>Aggressive</v>
      </c>
      <c r="I138" s="227">
        <f t="shared" si="16"/>
        <v>0</v>
      </c>
      <c r="K138" s="213" t="str">
        <f t="shared" si="11"/>
        <v>Hilton</v>
      </c>
      <c r="L138" s="213"/>
      <c r="M138" s="213"/>
      <c r="N138" s="213"/>
      <c r="O138" s="213"/>
      <c r="P138" s="213"/>
      <c r="Q138" s="213"/>
      <c r="R138" s="213"/>
      <c r="S138" s="213"/>
      <c r="T138" s="213"/>
      <c r="U138" s="213"/>
    </row>
    <row r="139" spans="2:21" ht="26" hidden="1" customHeight="1">
      <c r="B139" s="270" t="s">
        <v>463</v>
      </c>
      <c r="C139" s="274" t="str">
        <f>IFERROR(IF(_xlfn.XLOOKUP(B139, Table33[Investment Name], Table33[Override Investment Amount]) = 0, IF(_xlfn.XLOOKUP('Investment Proposal'!B139, Table33[Investment Name], Table33[Sum]) = 0, "", _xlfn.XLOOKUP('Investment Proposal'!B139, Table33[Investment Name], Table33[Sum])), _xlfn.XLOOKUP('Investment Proposal'!B139, Table33[Investment Name], Table33[Override Investment Amount])), "")</f>
        <v/>
      </c>
      <c r="D139" s="275">
        <f>IFERROR(_xlfn.XLOOKUP(B139, 'Asset Class Tables and Dropdown'!$A$3:$A$1001, 'Asset Class Tables and Dropdown'!$C$3:$C$1001),"")</f>
        <v>0</v>
      </c>
      <c r="E139" s="276" t="str">
        <f t="shared" si="17"/>
        <v/>
      </c>
      <c r="F139" s="276"/>
      <c r="G139" s="261" t="str">
        <f>IFERROR(IF(_xlfn.XLOOKUP(B139, 'Asset Class Tables and Dropdown'!$A$3:$A$1001, 'Asset Class Tables and Dropdown'!$D$3:$D$1001)=0, "", _xlfn.XLOOKUP(B139, 'Asset Class Tables and Dropdown'!$A$3:$A$1001, 'Asset Class Tables and Dropdown'!$D$3:$D$1001)), "")</f>
        <v>High</v>
      </c>
      <c r="H139" s="261" t="str">
        <f>IFERROR(IF(_xlfn.XLOOKUP(B139, 'Asset Class Tables and Dropdown'!$A$3:$A$1001, 'Asset Class Tables and Dropdown'!$E$3:$E$1001)=0, "", _xlfn.XLOOKUP(B139, 'Asset Class Tables and Dropdown'!$A$3:$A$1001, 'Asset Class Tables and Dropdown'!$E$3:$E$1001)),"")</f>
        <v>Aggressive</v>
      </c>
      <c r="I139" s="227">
        <f t="shared" si="16"/>
        <v>0</v>
      </c>
      <c r="K139" s="213" t="str">
        <f t="shared" si="11"/>
        <v>Hyatt</v>
      </c>
      <c r="L139" s="213"/>
      <c r="M139" s="213"/>
      <c r="N139" s="213"/>
      <c r="O139" s="213"/>
      <c r="P139" s="213"/>
      <c r="Q139" s="213"/>
      <c r="R139" s="213"/>
      <c r="S139" s="213"/>
      <c r="T139" s="213"/>
      <c r="U139" s="213"/>
    </row>
    <row r="140" spans="2:21" ht="26" hidden="1" customHeight="1">
      <c r="B140" s="270" t="s">
        <v>464</v>
      </c>
      <c r="C140" s="274" t="str">
        <f>IFERROR(IF(_xlfn.XLOOKUP(B140, Table33[Investment Name], Table33[Override Investment Amount]) = 0, IF(_xlfn.XLOOKUP('Investment Proposal'!B140, Table33[Investment Name], Table33[Sum]) = 0, "", _xlfn.XLOOKUP('Investment Proposal'!B140, Table33[Investment Name], Table33[Sum])), _xlfn.XLOOKUP('Investment Proposal'!B140, Table33[Investment Name], Table33[Override Investment Amount])), "")</f>
        <v/>
      </c>
      <c r="D140" s="275">
        <f>IFERROR(_xlfn.XLOOKUP(B140, 'Asset Class Tables and Dropdown'!$A$3:$A$1001, 'Asset Class Tables and Dropdown'!$C$3:$C$1001),"")</f>
        <v>0</v>
      </c>
      <c r="E140" s="276" t="str">
        <f t="shared" si="17"/>
        <v/>
      </c>
      <c r="F140" s="276"/>
      <c r="G140" s="261" t="str">
        <f>IFERROR(IF(_xlfn.XLOOKUP(B140, 'Asset Class Tables and Dropdown'!$A$3:$A$1001, 'Asset Class Tables and Dropdown'!$D$3:$D$1001)=0, "", _xlfn.XLOOKUP(B140, 'Asset Class Tables and Dropdown'!$A$3:$A$1001, 'Asset Class Tables and Dropdown'!$D$3:$D$1001)), "")</f>
        <v>High</v>
      </c>
      <c r="H140" s="261" t="str">
        <f>IFERROR(IF(_xlfn.XLOOKUP(B140, 'Asset Class Tables and Dropdown'!$A$3:$A$1001, 'Asset Class Tables and Dropdown'!$E$3:$E$1001)=0, "", _xlfn.XLOOKUP(B140, 'Asset Class Tables and Dropdown'!$A$3:$A$1001, 'Asset Class Tables and Dropdown'!$E$3:$E$1001)),"")</f>
        <v>Aggressive</v>
      </c>
      <c r="I140" s="227">
        <f t="shared" si="16"/>
        <v>0</v>
      </c>
      <c r="K140" s="213" t="str">
        <f t="shared" si="11"/>
        <v>International Developed</v>
      </c>
      <c r="L140" s="213"/>
      <c r="M140" s="213"/>
      <c r="N140" s="213"/>
      <c r="O140" s="213"/>
      <c r="P140" s="213"/>
      <c r="Q140" s="213"/>
      <c r="R140" s="213"/>
      <c r="S140" s="213"/>
      <c r="T140" s="213"/>
      <c r="U140" s="213"/>
    </row>
    <row r="141" spans="2:21" ht="26" hidden="1" customHeight="1">
      <c r="B141" s="270" t="s">
        <v>465</v>
      </c>
      <c r="C141" s="274" t="str">
        <f>IFERROR(IF(_xlfn.XLOOKUP(B141, Table33[Investment Name], Table33[Override Investment Amount]) = 0, IF(_xlfn.XLOOKUP('Investment Proposal'!B141, Table33[Investment Name], Table33[Sum]) = 0, "", _xlfn.XLOOKUP('Investment Proposal'!B141, Table33[Investment Name], Table33[Sum])), _xlfn.XLOOKUP('Investment Proposal'!B141, Table33[Investment Name], Table33[Override Investment Amount])), "")</f>
        <v/>
      </c>
      <c r="D141" s="275">
        <f>IFERROR(_xlfn.XLOOKUP(B141, 'Asset Class Tables and Dropdown'!$A$3:$A$1001, 'Asset Class Tables and Dropdown'!$C$3:$C$1001),"")</f>
        <v>0</v>
      </c>
      <c r="E141" s="276" t="str">
        <f t="shared" si="17"/>
        <v/>
      </c>
      <c r="F141" s="276"/>
      <c r="G141" s="261" t="str">
        <f>IFERROR(IF(_xlfn.XLOOKUP(B141, 'Asset Class Tables and Dropdown'!$A$3:$A$1001, 'Asset Class Tables and Dropdown'!$D$3:$D$1001)=0, "", _xlfn.XLOOKUP(B141, 'Asset Class Tables and Dropdown'!$A$3:$A$1001, 'Asset Class Tables and Dropdown'!$D$3:$D$1001)), "")</f>
        <v>High</v>
      </c>
      <c r="H141" s="261" t="str">
        <f>IFERROR(IF(_xlfn.XLOOKUP(B141, 'Asset Class Tables and Dropdown'!$A$3:$A$1001, 'Asset Class Tables and Dropdown'!$E$3:$E$1001)=0, "", _xlfn.XLOOKUP(B141, 'Asset Class Tables and Dropdown'!$A$3:$A$1001, 'Asset Class Tables and Dropdown'!$E$3:$E$1001)),"")</f>
        <v>Aggressive</v>
      </c>
      <c r="I141" s="227">
        <f t="shared" si="16"/>
        <v>0</v>
      </c>
      <c r="K141" s="213" t="str">
        <f t="shared" si="11"/>
        <v xml:space="preserve">International Emerging </v>
      </c>
      <c r="L141" s="213"/>
      <c r="M141" s="213"/>
      <c r="N141" s="213"/>
      <c r="O141" s="213"/>
      <c r="P141" s="213"/>
      <c r="Q141" s="213"/>
      <c r="R141" s="213"/>
      <c r="S141" s="213"/>
      <c r="T141" s="213"/>
      <c r="U141" s="213"/>
    </row>
    <row r="142" spans="2:21" ht="26" hidden="1" customHeight="1">
      <c r="B142" s="270" t="s">
        <v>364</v>
      </c>
      <c r="C142" s="274" t="str">
        <f>IFERROR(IF(_xlfn.XLOOKUP(B142, Table33[Investment Name], Table33[Override Investment Amount]) = 0, IF(_xlfn.XLOOKUP('Investment Proposal'!B142, Table33[Investment Name], Table33[Sum]) = 0, "", _xlfn.XLOOKUP('Investment Proposal'!B142, Table33[Investment Name], Table33[Sum])), _xlfn.XLOOKUP('Investment Proposal'!B142, Table33[Investment Name], Table33[Override Investment Amount])), "")</f>
        <v/>
      </c>
      <c r="D142" s="275">
        <f>IFERROR(_xlfn.XLOOKUP(B142, 'Asset Class Tables and Dropdown'!$A$3:$A$1001, 'Asset Class Tables and Dropdown'!$C$3:$C$1001),"")</f>
        <v>0</v>
      </c>
      <c r="E142" s="276" t="str">
        <f t="shared" si="17"/>
        <v/>
      </c>
      <c r="F142" s="276"/>
      <c r="G142" s="261" t="str">
        <f>IFERROR(IF(_xlfn.XLOOKUP(B142, 'Asset Class Tables and Dropdown'!$A$3:$A$1001, 'Asset Class Tables and Dropdown'!$D$3:$D$1001)=0, "", _xlfn.XLOOKUP(B142, 'Asset Class Tables and Dropdown'!$A$3:$A$1001, 'Asset Class Tables and Dropdown'!$D$3:$D$1001)), "")</f>
        <v>High</v>
      </c>
      <c r="H142" s="261" t="str">
        <f>IFERROR(IF(_xlfn.XLOOKUP(B142, 'Asset Class Tables and Dropdown'!$A$3:$A$1001, 'Asset Class Tables and Dropdown'!$E$3:$E$1001)=0, "", _xlfn.XLOOKUP(B142, 'Asset Class Tables and Dropdown'!$A$3:$A$1001, 'Asset Class Tables and Dropdown'!$E$3:$E$1001)),"")</f>
        <v>Aggressive</v>
      </c>
      <c r="I142" s="227">
        <f t="shared" si="16"/>
        <v>0</v>
      </c>
      <c r="K142" s="213" t="str">
        <f t="shared" si="11"/>
        <v>Invesco Oppenheimer Global Opportunities</v>
      </c>
      <c r="L142" s="213"/>
      <c r="M142" s="213"/>
      <c r="N142" s="213"/>
      <c r="O142" s="213"/>
      <c r="P142" s="213"/>
      <c r="Q142" s="213"/>
      <c r="R142" s="213"/>
      <c r="S142" s="213"/>
      <c r="T142" s="213"/>
      <c r="U142" s="213"/>
    </row>
    <row r="143" spans="2:21" ht="26" hidden="1" customHeight="1">
      <c r="B143" s="270" t="s">
        <v>370</v>
      </c>
      <c r="C143" s="274" t="str">
        <f>IFERROR(IF(_xlfn.XLOOKUP(B143, Table33[Investment Name], Table33[Override Investment Amount]) = 0, IF(_xlfn.XLOOKUP('Investment Proposal'!B143, Table33[Investment Name], Table33[Sum]) = 0, "", _xlfn.XLOOKUP('Investment Proposal'!B143, Table33[Investment Name], Table33[Sum])), _xlfn.XLOOKUP('Investment Proposal'!B143, Table33[Investment Name], Table33[Override Investment Amount])), "")</f>
        <v/>
      </c>
      <c r="D143" s="275">
        <f>IFERROR(_xlfn.XLOOKUP(B143, 'Asset Class Tables and Dropdown'!$A$3:$A$1001, 'Asset Class Tables and Dropdown'!$C$3:$C$1001),"")</f>
        <v>9.1000000000000004E-3</v>
      </c>
      <c r="E143" s="276" t="str">
        <f t="shared" si="17"/>
        <v/>
      </c>
      <c r="F143" s="276"/>
      <c r="G143" s="261" t="str">
        <f>IFERROR(IF(_xlfn.XLOOKUP(B143, 'Asset Class Tables and Dropdown'!$A$3:$A$1001, 'Asset Class Tables and Dropdown'!$D$3:$D$1001)=0, "", _xlfn.XLOOKUP(B143, 'Asset Class Tables and Dropdown'!$A$3:$A$1001, 'Asset Class Tables and Dropdown'!$D$3:$D$1001)), "")</f>
        <v>High</v>
      </c>
      <c r="H143" s="261" t="str">
        <f>IFERROR(IF(_xlfn.XLOOKUP(B143, 'Asset Class Tables and Dropdown'!$A$3:$A$1001, 'Asset Class Tables and Dropdown'!$E$3:$E$1001)=0, "", _xlfn.XLOOKUP(B143, 'Asset Class Tables and Dropdown'!$A$3:$A$1001, 'Asset Class Tables and Dropdown'!$E$3:$E$1001)),"")</f>
        <v>Aggressive</v>
      </c>
      <c r="I143" s="227">
        <f t="shared" si="16"/>
        <v>0</v>
      </c>
      <c r="K143" s="213" t="str">
        <f t="shared" ref="K143:K191" si="18">IF(B143="Total","",IF(B143="","",B143))</f>
        <v>JHancock Disciplined Value Mid Cap</v>
      </c>
      <c r="L143" s="213"/>
      <c r="M143" s="213"/>
      <c r="N143" s="213"/>
      <c r="O143" s="213"/>
      <c r="P143" s="213"/>
      <c r="Q143" s="213"/>
      <c r="R143" s="213"/>
      <c r="S143" s="213"/>
      <c r="T143" s="213"/>
      <c r="U143" s="213"/>
    </row>
    <row r="144" spans="2:21" ht="26" hidden="1" customHeight="1">
      <c r="B144" s="270" t="s">
        <v>468</v>
      </c>
      <c r="C144" s="274" t="str">
        <f>IFERROR(IF(_xlfn.XLOOKUP(B144, Table33[Investment Name], Table33[Override Investment Amount]) = 0, IF(_xlfn.XLOOKUP('Investment Proposal'!B144, Table33[Investment Name], Table33[Sum]) = 0, "", _xlfn.XLOOKUP('Investment Proposal'!B144, Table33[Investment Name], Table33[Sum])), _xlfn.XLOOKUP('Investment Proposal'!B144, Table33[Investment Name], Table33[Override Investment Amount])), "")</f>
        <v/>
      </c>
      <c r="D144" s="275">
        <f>IFERROR(_xlfn.XLOOKUP(B144, 'Asset Class Tables and Dropdown'!$A$3:$A$1001, 'Asset Class Tables and Dropdown'!$C$3:$C$1001),"")</f>
        <v>0</v>
      </c>
      <c r="E144" s="276" t="str">
        <f t="shared" si="17"/>
        <v/>
      </c>
      <c r="F144" s="276"/>
      <c r="G144" s="261" t="str">
        <f>IFERROR(IF(_xlfn.XLOOKUP(B144, 'Asset Class Tables and Dropdown'!$A$3:$A$1001, 'Asset Class Tables and Dropdown'!$D$3:$D$1001)=0, "", _xlfn.XLOOKUP(B144, 'Asset Class Tables and Dropdown'!$A$3:$A$1001, 'Asset Class Tables and Dropdown'!$D$3:$D$1001)), "")</f>
        <v>High</v>
      </c>
      <c r="H144" s="261" t="str">
        <f>IFERROR(IF(_xlfn.XLOOKUP(B144, 'Asset Class Tables and Dropdown'!$A$3:$A$1001, 'Asset Class Tables and Dropdown'!$E$3:$E$1001)=0, "", _xlfn.XLOOKUP(B144, 'Asset Class Tables and Dropdown'!$A$3:$A$1001, 'Asset Class Tables and Dropdown'!$E$3:$E$1001)),"")</f>
        <v>Aggressive</v>
      </c>
      <c r="I144" s="227">
        <f t="shared" si="16"/>
        <v>0</v>
      </c>
      <c r="K144" s="213" t="str">
        <f t="shared" si="18"/>
        <v>JP Morgan</v>
      </c>
      <c r="L144" s="213"/>
      <c r="M144" s="213"/>
      <c r="N144" s="213"/>
      <c r="O144" s="213"/>
      <c r="P144" s="213"/>
      <c r="Q144" s="213"/>
      <c r="R144" s="213"/>
      <c r="S144" s="213"/>
      <c r="T144" s="213"/>
      <c r="U144" s="213"/>
    </row>
    <row r="145" spans="2:21" ht="26" hidden="1" customHeight="1">
      <c r="B145" s="270" t="s">
        <v>372</v>
      </c>
      <c r="C145" s="274" t="str">
        <f>IFERROR(IF(_xlfn.XLOOKUP(B145, Table33[Investment Name], Table33[Override Investment Amount]) = 0, IF(_xlfn.XLOOKUP('Investment Proposal'!B145, Table33[Investment Name], Table33[Sum]) = 0, "", _xlfn.XLOOKUP('Investment Proposal'!B145, Table33[Investment Name], Table33[Sum])), _xlfn.XLOOKUP('Investment Proposal'!B145, Table33[Investment Name], Table33[Override Investment Amount])), "")</f>
        <v/>
      </c>
      <c r="D145" s="275">
        <f>IFERROR(_xlfn.XLOOKUP(B145, 'Asset Class Tables and Dropdown'!$A$3:$A$1001, 'Asset Class Tables and Dropdown'!$C$3:$C$1001),"")</f>
        <v>7.0000000000000007E-2</v>
      </c>
      <c r="E145" s="276" t="str">
        <f t="shared" si="17"/>
        <v/>
      </c>
      <c r="F145" s="276"/>
      <c r="G145" s="261" t="str">
        <f>IFERROR(IF(_xlfn.XLOOKUP(B145, 'Asset Class Tables and Dropdown'!$A$3:$A$1001, 'Asset Class Tables and Dropdown'!$D$3:$D$1001)=0, "", _xlfn.XLOOKUP(B145, 'Asset Class Tables and Dropdown'!$A$3:$A$1001, 'Asset Class Tables and Dropdown'!$D$3:$D$1001)), "")</f>
        <v>High</v>
      </c>
      <c r="H145" s="261" t="str">
        <f>IFERROR(IF(_xlfn.XLOOKUP(B145, 'Asset Class Tables and Dropdown'!$A$3:$A$1001, 'Asset Class Tables and Dropdown'!$E$3:$E$1001)=0, "", _xlfn.XLOOKUP(B145, 'Asset Class Tables and Dropdown'!$A$3:$A$1001, 'Asset Class Tables and Dropdown'!$E$3:$E$1001)),"")</f>
        <v>Moderate</v>
      </c>
      <c r="I145" s="227">
        <f t="shared" si="16"/>
        <v>0</v>
      </c>
      <c r="K145" s="213" t="str">
        <f t="shared" si="18"/>
        <v>JPMorgan Equity Premium Income Fund</v>
      </c>
      <c r="L145" s="213"/>
      <c r="M145" s="213"/>
      <c r="N145" s="213"/>
      <c r="O145" s="213"/>
      <c r="P145" s="213"/>
      <c r="Q145" s="213"/>
      <c r="R145" s="213"/>
      <c r="S145" s="213"/>
      <c r="T145" s="213"/>
      <c r="U145" s="213"/>
    </row>
    <row r="146" spans="2:21" ht="26" customHeight="1">
      <c r="B146" s="270" t="s">
        <v>126</v>
      </c>
      <c r="C146" s="274" t="str">
        <f>IFERROR(IF(_xlfn.XLOOKUP(B146, Table33[Investment Name], Table33[Override Investment Amount]) = 0, IF(_xlfn.XLOOKUP('Investment Proposal'!B146, Table33[Investment Name], Table33[Sum]) = 0, "", _xlfn.XLOOKUP('Investment Proposal'!B146, Table33[Investment Name], Table33[Sum])), _xlfn.XLOOKUP('Investment Proposal'!B146, Table33[Investment Name], Table33[Override Investment Amount])), "")</f>
        <v/>
      </c>
      <c r="D146" s="275">
        <f>IFERROR(_xlfn.XLOOKUP(B146, 'Asset Class Tables and Dropdown'!$A$3:$A$1001, 'Asset Class Tables and Dropdown'!$C$3:$C$1001),"")</f>
        <v>0</v>
      </c>
      <c r="E146" s="276" t="str">
        <f t="shared" si="17"/>
        <v/>
      </c>
      <c r="F146" s="276"/>
      <c r="G146" s="261" t="str">
        <f>IFERROR(IF(_xlfn.XLOOKUP(B146, 'Asset Class Tables and Dropdown'!$A$3:$A$1001, 'Asset Class Tables and Dropdown'!$D$3:$D$1001)=0, "", _xlfn.XLOOKUP(B146, 'Asset Class Tables and Dropdown'!$A$3:$A$1001, 'Asset Class Tables and Dropdown'!$D$3:$D$1001)), "")</f>
        <v>High</v>
      </c>
      <c r="H146" s="261" t="str">
        <f>IFERROR(IF(_xlfn.XLOOKUP(B146, 'Asset Class Tables and Dropdown'!$A$3:$A$1001, 'Asset Class Tables and Dropdown'!$E$3:$E$1001)=0, "", _xlfn.XLOOKUP(B146, 'Asset Class Tables and Dropdown'!$A$3:$A$1001, 'Asset Class Tables and Dropdown'!$E$3:$E$1001)),"")</f>
        <v>Aggressive</v>
      </c>
      <c r="I146" s="227">
        <f t="shared" si="16"/>
        <v>0</v>
      </c>
      <c r="K146" s="213" t="str">
        <f t="shared" si="18"/>
        <v>JP Morgan Mid Cap Growth</v>
      </c>
      <c r="L146" s="213"/>
      <c r="M146" s="213"/>
      <c r="N146" s="213"/>
      <c r="O146" s="213"/>
      <c r="P146" s="213"/>
      <c r="Q146" s="213"/>
      <c r="R146" s="213"/>
      <c r="S146" s="213"/>
      <c r="T146" s="213"/>
      <c r="U146" s="213"/>
    </row>
    <row r="147" spans="2:21" ht="26" hidden="1" customHeight="1">
      <c r="B147" s="270" t="s">
        <v>469</v>
      </c>
      <c r="C147" s="274" t="str">
        <f>IFERROR(IF(_xlfn.XLOOKUP(B147, Table33[Investment Name], Table33[Override Investment Amount]) = 0, IF(_xlfn.XLOOKUP('Investment Proposal'!B147, Table33[Investment Name], Table33[Sum]) = 0, "", _xlfn.XLOOKUP('Investment Proposal'!B147, Table33[Investment Name], Table33[Sum])), _xlfn.XLOOKUP('Investment Proposal'!B147, Table33[Investment Name], Table33[Override Investment Amount])), "")</f>
        <v/>
      </c>
      <c r="D147" s="275">
        <f>IFERROR(_xlfn.XLOOKUP(B147, 'Asset Class Tables and Dropdown'!$A$3:$A$1001, 'Asset Class Tables and Dropdown'!$C$3:$C$1001),"")</f>
        <v>6.4000000000000001E-2</v>
      </c>
      <c r="E147" s="276" t="str">
        <f t="shared" si="17"/>
        <v/>
      </c>
      <c r="F147" s="276"/>
      <c r="G147" s="261" t="str">
        <f>IFERROR(IF(_xlfn.XLOOKUP(B147, 'Asset Class Tables and Dropdown'!$A$3:$A$1001, 'Asset Class Tables and Dropdown'!$D$3:$D$1001)=0, "", _xlfn.XLOOKUP(B147, 'Asset Class Tables and Dropdown'!$A$3:$A$1001, 'Asset Class Tables and Dropdown'!$D$3:$D$1001)), "")</f>
        <v>High</v>
      </c>
      <c r="H147" s="261" t="str">
        <f>IFERROR(IF(_xlfn.XLOOKUP(B147, 'Asset Class Tables and Dropdown'!$A$3:$A$1001, 'Asset Class Tables and Dropdown'!$E$3:$E$1001)=0, "", _xlfn.XLOOKUP(B147, 'Asset Class Tables and Dropdown'!$A$3:$A$1001, 'Asset Class Tables and Dropdown'!$E$3:$E$1001)),"")</f>
        <v>Aggressive</v>
      </c>
      <c r="I147" s="227">
        <f t="shared" si="16"/>
        <v>0</v>
      </c>
      <c r="K147" s="213" t="str">
        <f t="shared" si="18"/>
        <v>Main Street Capital Corporation</v>
      </c>
      <c r="L147" s="213"/>
      <c r="M147" s="213"/>
      <c r="N147" s="213"/>
      <c r="O147" s="213"/>
      <c r="P147" s="213"/>
      <c r="Q147" s="213"/>
      <c r="R147" s="213"/>
      <c r="S147" s="213"/>
      <c r="T147" s="213"/>
      <c r="U147" s="213"/>
    </row>
    <row r="148" spans="2:21" ht="26" hidden="1" customHeight="1">
      <c r="B148" s="270" t="s">
        <v>470</v>
      </c>
      <c r="C148" s="274" t="str">
        <f>IFERROR(IF(_xlfn.XLOOKUP(B148, Table33[Investment Name], Table33[Override Investment Amount]) = 0, IF(_xlfn.XLOOKUP('Investment Proposal'!B148, Table33[Investment Name], Table33[Sum]) = 0, "", _xlfn.XLOOKUP('Investment Proposal'!B148, Table33[Investment Name], Table33[Sum])), _xlfn.XLOOKUP('Investment Proposal'!B148, Table33[Investment Name], Table33[Override Investment Amount])), "")</f>
        <v/>
      </c>
      <c r="D148" s="275">
        <f>IFERROR(_xlfn.XLOOKUP(B148, 'Asset Class Tables and Dropdown'!$A$3:$A$1001, 'Asset Class Tables and Dropdown'!$C$3:$C$1001),"")</f>
        <v>0</v>
      </c>
      <c r="E148" s="276" t="str">
        <f t="shared" si="17"/>
        <v/>
      </c>
      <c r="F148" s="276"/>
      <c r="G148" s="261" t="str">
        <f>IFERROR(IF(_xlfn.XLOOKUP(B148, 'Asset Class Tables and Dropdown'!$A$3:$A$1001, 'Asset Class Tables and Dropdown'!$D$3:$D$1001)=0, "", _xlfn.XLOOKUP(B148, 'Asset Class Tables and Dropdown'!$A$3:$A$1001, 'Asset Class Tables and Dropdown'!$D$3:$D$1001)), "")</f>
        <v>High</v>
      </c>
      <c r="H148" s="261" t="str">
        <f>IFERROR(IF(_xlfn.XLOOKUP(B148, 'Asset Class Tables and Dropdown'!$A$3:$A$1001, 'Asset Class Tables and Dropdown'!$E$3:$E$1001)=0, "", _xlfn.XLOOKUP(B148, 'Asset Class Tables and Dropdown'!$A$3:$A$1001, 'Asset Class Tables and Dropdown'!$E$3:$E$1001)),"")</f>
        <v>Aggressive</v>
      </c>
      <c r="I148" s="227">
        <f t="shared" si="16"/>
        <v>0</v>
      </c>
      <c r="K148" s="213" t="str">
        <f t="shared" si="18"/>
        <v>Marriott</v>
      </c>
      <c r="L148" s="213"/>
      <c r="M148" s="213"/>
      <c r="N148" s="213"/>
      <c r="O148" s="213"/>
      <c r="P148" s="213"/>
      <c r="Q148" s="213"/>
      <c r="R148" s="213"/>
      <c r="S148" s="213"/>
      <c r="T148" s="213"/>
      <c r="U148" s="213"/>
    </row>
    <row r="149" spans="2:21" ht="26" hidden="1" customHeight="1">
      <c r="B149" s="270" t="s">
        <v>378</v>
      </c>
      <c r="C149" s="274" t="str">
        <f>IFERROR(IF(_xlfn.XLOOKUP(B149, Table33[Investment Name], Table33[Override Investment Amount]) = 0, IF(_xlfn.XLOOKUP('Investment Proposal'!B149, Table33[Investment Name], Table33[Sum]) = 0, "", _xlfn.XLOOKUP('Investment Proposal'!B149, Table33[Investment Name], Table33[Sum])), _xlfn.XLOOKUP('Investment Proposal'!B149, Table33[Investment Name], Table33[Override Investment Amount])), "")</f>
        <v/>
      </c>
      <c r="D149" s="275">
        <f>IFERROR(_xlfn.XLOOKUP(B149, 'Asset Class Tables and Dropdown'!$A$3:$A$1001, 'Asset Class Tables and Dropdown'!$C$3:$C$1001),"")</f>
        <v>0.1137</v>
      </c>
      <c r="E149" s="276" t="str">
        <f t="shared" si="17"/>
        <v/>
      </c>
      <c r="F149" s="276"/>
      <c r="G149" s="261" t="str">
        <f>IFERROR(IF(_xlfn.XLOOKUP(B149, 'Asset Class Tables and Dropdown'!$A$3:$A$1001, 'Asset Class Tables and Dropdown'!$D$3:$D$1001)=0, "", _xlfn.XLOOKUP(B149, 'Asset Class Tables and Dropdown'!$A$3:$A$1001, 'Asset Class Tables and Dropdown'!$D$3:$D$1001)), "")</f>
        <v>High</v>
      </c>
      <c r="H149" s="261" t="str">
        <f>IFERROR(IF(_xlfn.XLOOKUP(B149, 'Asset Class Tables and Dropdown'!$A$3:$A$1001, 'Asset Class Tables and Dropdown'!$E$3:$E$1001)=0, "", _xlfn.XLOOKUP(B149, 'Asset Class Tables and Dropdown'!$A$3:$A$1001, 'Asset Class Tables and Dropdown'!$E$3:$E$1001)),"")</f>
        <v>Aggressive</v>
      </c>
      <c r="I149" s="227">
        <f t="shared" si="16"/>
        <v>0</v>
      </c>
      <c r="K149" s="213" t="str">
        <f t="shared" si="18"/>
        <v>MidCap Financial Investment Corp</v>
      </c>
      <c r="L149" s="213"/>
      <c r="M149" s="213"/>
      <c r="N149" s="213"/>
      <c r="O149" s="213"/>
      <c r="P149" s="213"/>
      <c r="Q149" s="213"/>
      <c r="R149" s="213"/>
      <c r="S149" s="213"/>
      <c r="T149" s="213"/>
      <c r="U149" s="213"/>
    </row>
    <row r="150" spans="2:21" ht="26" customHeight="1">
      <c r="B150" s="270" t="s">
        <v>127</v>
      </c>
      <c r="C150" s="274" t="str">
        <f>IFERROR(IF(_xlfn.XLOOKUP(B150, Table33[Investment Name], Table33[Override Investment Amount]) = 0, IF(_xlfn.XLOOKUP('Investment Proposal'!B150, Table33[Investment Name], Table33[Sum]) = 0, "", _xlfn.XLOOKUP('Investment Proposal'!B150, Table33[Investment Name], Table33[Sum])), _xlfn.XLOOKUP('Investment Proposal'!B150, Table33[Investment Name], Table33[Override Investment Amount])), "")</f>
        <v/>
      </c>
      <c r="D150" s="275">
        <f>IFERROR(_xlfn.XLOOKUP(B150, 'Asset Class Tables and Dropdown'!$A$3:$A$1001, 'Asset Class Tables and Dropdown'!$C$3:$C$1001),"")</f>
        <v>0</v>
      </c>
      <c r="E150" s="276" t="str">
        <f t="shared" si="17"/>
        <v/>
      </c>
      <c r="F150" s="276"/>
      <c r="G150" s="261" t="str">
        <f>IFERROR(IF(_xlfn.XLOOKUP(B150, 'Asset Class Tables and Dropdown'!$A$3:$A$1001, 'Asset Class Tables and Dropdown'!$D$3:$D$1001)=0, "", _xlfn.XLOOKUP(B150, 'Asset Class Tables and Dropdown'!$A$3:$A$1001, 'Asset Class Tables and Dropdown'!$D$3:$D$1001)), "")</f>
        <v>High</v>
      </c>
      <c r="H150" s="261" t="str">
        <f>IFERROR(IF(_xlfn.XLOOKUP(B150, 'Asset Class Tables and Dropdown'!$A$3:$A$1001, 'Asset Class Tables and Dropdown'!$E$3:$E$1001)=0, "", _xlfn.XLOOKUP(B150, 'Asset Class Tables and Dropdown'!$A$3:$A$1001, 'Asset Class Tables and Dropdown'!$E$3:$E$1001)),"")</f>
        <v>Aggressive</v>
      </c>
      <c r="I150" s="227">
        <f t="shared" si="16"/>
        <v>0</v>
      </c>
      <c r="K150" s="213" t="str">
        <f t="shared" si="18"/>
        <v>Needham Small Cap Growth</v>
      </c>
      <c r="L150" s="213"/>
      <c r="M150" s="213"/>
      <c r="N150" s="213"/>
      <c r="O150" s="213"/>
      <c r="P150" s="213"/>
      <c r="Q150" s="213"/>
      <c r="R150" s="213"/>
      <c r="S150" s="213"/>
      <c r="T150" s="213"/>
      <c r="U150" s="213"/>
    </row>
    <row r="151" spans="2:21" ht="26" hidden="1" customHeight="1">
      <c r="B151" s="270" t="s">
        <v>471</v>
      </c>
      <c r="C151" s="274" t="str">
        <f>IFERROR(IF(_xlfn.XLOOKUP(B151, Table33[Investment Name], Table33[Override Investment Amount]) = 0, IF(_xlfn.XLOOKUP('Investment Proposal'!B151, Table33[Investment Name], Table33[Sum]) = 0, "", _xlfn.XLOOKUP('Investment Proposal'!B151, Table33[Investment Name], Table33[Sum])), _xlfn.XLOOKUP('Investment Proposal'!B151, Table33[Investment Name], Table33[Override Investment Amount])), "")</f>
        <v/>
      </c>
      <c r="D151" s="275">
        <f>IFERROR(_xlfn.XLOOKUP(B151, 'Asset Class Tables and Dropdown'!$A$3:$A$1001, 'Asset Class Tables and Dropdown'!$C$3:$C$1001),"")</f>
        <v>0</v>
      </c>
      <c r="E151" s="276" t="str">
        <f t="shared" si="17"/>
        <v/>
      </c>
      <c r="F151" s="276"/>
      <c r="G151" s="261" t="str">
        <f>IFERROR(IF(_xlfn.XLOOKUP(B151, 'Asset Class Tables and Dropdown'!$A$3:$A$1001, 'Asset Class Tables and Dropdown'!$D$3:$D$1001)=0, "", _xlfn.XLOOKUP(B151, 'Asset Class Tables and Dropdown'!$A$3:$A$1001, 'Asset Class Tables and Dropdown'!$D$3:$D$1001)), "")</f>
        <v>High</v>
      </c>
      <c r="H151" s="261" t="str">
        <f>IFERROR(IF(_xlfn.XLOOKUP(B151, 'Asset Class Tables and Dropdown'!$A$3:$A$1001, 'Asset Class Tables and Dropdown'!$E$3:$E$1001)=0, "", _xlfn.XLOOKUP(B151, 'Asset Class Tables and Dropdown'!$A$3:$A$1001, 'Asset Class Tables and Dropdown'!$E$3:$E$1001)),"")</f>
        <v>Aggressive</v>
      </c>
      <c r="I151" s="227">
        <f t="shared" si="16"/>
        <v>0</v>
      </c>
      <c r="K151" s="213" t="str">
        <f t="shared" si="18"/>
        <v>Norwegian Cruise Line</v>
      </c>
      <c r="L151" s="213"/>
      <c r="M151" s="213"/>
      <c r="N151" s="213"/>
      <c r="O151" s="213"/>
      <c r="P151" s="213"/>
      <c r="Q151" s="213"/>
      <c r="R151" s="213"/>
      <c r="S151" s="213"/>
      <c r="T151" s="213"/>
      <c r="U151" s="213"/>
    </row>
    <row r="152" spans="2:21" ht="26" hidden="1" customHeight="1">
      <c r="B152" s="270" t="s">
        <v>329</v>
      </c>
      <c r="C152" s="274" t="str">
        <f>IFERROR(IF(_xlfn.XLOOKUP(B152, Table33[Investment Name], Table33[Override Investment Amount]) = 0, IF(_xlfn.XLOOKUP('Investment Proposal'!B152, Table33[Investment Name], Table33[Sum]) = 0, "", _xlfn.XLOOKUP('Investment Proposal'!B152, Table33[Investment Name], Table33[Sum])), _xlfn.XLOOKUP('Investment Proposal'!B152, Table33[Investment Name], Table33[Override Investment Amount])), "")</f>
        <v/>
      </c>
      <c r="D152" s="275">
        <f>IFERROR(_xlfn.XLOOKUP(B152, 'Asset Class Tables and Dropdown'!$A$3:$A$1001, 'Asset Class Tables and Dropdown'!$C$3:$C$1001),"")</f>
        <v>7.1999999999999995E-2</v>
      </c>
      <c r="E152" s="276" t="str">
        <f t="shared" si="17"/>
        <v/>
      </c>
      <c r="F152" s="276"/>
      <c r="G152" s="261" t="str">
        <f>IFERROR(IF(_xlfn.XLOOKUP(B152, 'Asset Class Tables and Dropdown'!$A$3:$A$1001, 'Asset Class Tables and Dropdown'!$D$3:$D$1001)=0, "", _xlfn.XLOOKUP(B152, 'Asset Class Tables and Dropdown'!$A$3:$A$1001, 'Asset Class Tables and Dropdown'!$D$3:$D$1001)), "")</f>
        <v>High</v>
      </c>
      <c r="H152" s="261" t="str">
        <f>IFERROR(IF(_xlfn.XLOOKUP(B152, 'Asset Class Tables and Dropdown'!$A$3:$A$1001, 'Asset Class Tables and Dropdown'!$E$3:$E$1001)=0, "", _xlfn.XLOOKUP(B152, 'Asset Class Tables and Dropdown'!$A$3:$A$1001, 'Asset Class Tables and Dropdown'!$E$3:$E$1001)),"")</f>
        <v>Aggressive</v>
      </c>
      <c r="I152" s="227">
        <f t="shared" si="16"/>
        <v>0</v>
      </c>
      <c r="K152" s="213" t="str">
        <f t="shared" si="18"/>
        <v>Owl Rock Capital Corp</v>
      </c>
      <c r="L152" s="213"/>
      <c r="M152" s="213"/>
      <c r="N152" s="213"/>
      <c r="O152" s="213"/>
      <c r="P152" s="213"/>
      <c r="Q152" s="213"/>
      <c r="R152" s="213"/>
      <c r="S152" s="213"/>
      <c r="T152" s="213"/>
      <c r="U152" s="213"/>
    </row>
    <row r="153" spans="2:21" ht="26" customHeight="1">
      <c r="B153" s="270" t="s">
        <v>128</v>
      </c>
      <c r="C153" s="274" t="str">
        <f>IFERROR(IF(_xlfn.XLOOKUP(B153, Table33[Investment Name], Table33[Override Investment Amount]) = 0, IF(_xlfn.XLOOKUP('Investment Proposal'!B153, Table33[Investment Name], Table33[Sum]) = 0, "", _xlfn.XLOOKUP('Investment Proposal'!B153, Table33[Investment Name], Table33[Sum])), _xlfn.XLOOKUP('Investment Proposal'!B153, Table33[Investment Name], Table33[Override Investment Amount])), "")</f>
        <v/>
      </c>
      <c r="D153" s="275">
        <f>IFERROR(_xlfn.XLOOKUP(B153, 'Asset Class Tables and Dropdown'!$A$3:$A$1001, 'Asset Class Tables and Dropdown'!$C$3:$C$1001),"")</f>
        <v>0</v>
      </c>
      <c r="E153" s="276" t="str">
        <f t="shared" si="17"/>
        <v/>
      </c>
      <c r="F153" s="276"/>
      <c r="G153" s="261" t="str">
        <f>IFERROR(IF(_xlfn.XLOOKUP(B153, 'Asset Class Tables and Dropdown'!$A$3:$A$1001, 'Asset Class Tables and Dropdown'!$D$3:$D$1001)=0, "", _xlfn.XLOOKUP(B153, 'Asset Class Tables and Dropdown'!$A$3:$A$1001, 'Asset Class Tables and Dropdown'!$D$3:$D$1001)), "")</f>
        <v>High</v>
      </c>
      <c r="H153" s="261" t="str">
        <f>IFERROR(IF(_xlfn.XLOOKUP(B153, 'Asset Class Tables and Dropdown'!$A$3:$A$1001, 'Asset Class Tables and Dropdown'!$E$3:$E$1001)=0, "", _xlfn.XLOOKUP(B153, 'Asset Class Tables and Dropdown'!$A$3:$A$1001, 'Asset Class Tables and Dropdown'!$E$3:$E$1001)),"")</f>
        <v>Aggressive</v>
      </c>
      <c r="I153" s="227">
        <f t="shared" si="16"/>
        <v>0</v>
      </c>
      <c r="K153" s="213" t="str">
        <f t="shared" si="18"/>
        <v>PGIM Jennison Global Opportunities</v>
      </c>
      <c r="L153" s="213"/>
      <c r="M153" s="213"/>
      <c r="N153" s="213"/>
      <c r="O153" s="213"/>
      <c r="P153" s="213"/>
      <c r="Q153" s="213"/>
      <c r="R153" s="213"/>
      <c r="S153" s="213"/>
      <c r="T153" s="213"/>
      <c r="U153" s="213"/>
    </row>
    <row r="154" spans="2:21" ht="26" hidden="1" customHeight="1">
      <c r="B154" s="270" t="s">
        <v>389</v>
      </c>
      <c r="C154" s="274" t="str">
        <f>IFERROR(IF(_xlfn.XLOOKUP(B154, Table33[Investment Name], Table33[Override Investment Amount]) = 0, IF(_xlfn.XLOOKUP('Investment Proposal'!B154, Table33[Investment Name], Table33[Sum]) = 0, "", _xlfn.XLOOKUP('Investment Proposal'!B154, Table33[Investment Name], Table33[Sum])), _xlfn.XLOOKUP('Investment Proposal'!B154, Table33[Investment Name], Table33[Override Investment Amount])), "")</f>
        <v/>
      </c>
      <c r="D154" s="275">
        <f>IFERROR(_xlfn.XLOOKUP(B154, 'Asset Class Tables and Dropdown'!$A$3:$A$1001, 'Asset Class Tables and Dropdown'!$C$3:$C$1001),"")</f>
        <v>0</v>
      </c>
      <c r="E154" s="276" t="str">
        <f t="shared" si="17"/>
        <v/>
      </c>
      <c r="F154" s="276"/>
      <c r="G154" s="261" t="str">
        <f>IFERROR(IF(_xlfn.XLOOKUP(B154, 'Asset Class Tables and Dropdown'!$A$3:$A$1001, 'Asset Class Tables and Dropdown'!$D$3:$D$1001)=0, "", _xlfn.XLOOKUP(B154, 'Asset Class Tables and Dropdown'!$A$3:$A$1001, 'Asset Class Tables and Dropdown'!$D$3:$D$1001)), "")</f>
        <v>High</v>
      </c>
      <c r="H154" s="261" t="str">
        <f>IFERROR(IF(_xlfn.XLOOKUP(B154, 'Asset Class Tables and Dropdown'!$A$3:$A$1001, 'Asset Class Tables and Dropdown'!$E$3:$E$1001)=0, "", _xlfn.XLOOKUP(B154, 'Asset Class Tables and Dropdown'!$A$3:$A$1001, 'Asset Class Tables and Dropdown'!$E$3:$E$1001)),"")</f>
        <v>Aggressive</v>
      </c>
      <c r="I154" s="227">
        <f t="shared" si="16"/>
        <v>0</v>
      </c>
      <c r="K154" s="213" t="str">
        <f t="shared" si="18"/>
        <v>PGIM Jennsion Emerging Markets Equities Opportunity</v>
      </c>
      <c r="L154" s="213"/>
      <c r="M154" s="213"/>
      <c r="N154" s="213"/>
      <c r="O154" s="213"/>
      <c r="P154" s="213"/>
      <c r="Q154" s="213"/>
      <c r="R154" s="213"/>
      <c r="S154" s="213"/>
      <c r="T154" s="213"/>
      <c r="U154" s="213"/>
    </row>
    <row r="155" spans="2:21" ht="26" hidden="1" customHeight="1">
      <c r="B155" s="270" t="s">
        <v>472</v>
      </c>
      <c r="C155" s="274" t="str">
        <f>IFERROR(IF(_xlfn.XLOOKUP(B155, Table33[Investment Name], Table33[Override Investment Amount]) = 0, IF(_xlfn.XLOOKUP('Investment Proposal'!B155, Table33[Investment Name], Table33[Sum]) = 0, "", _xlfn.XLOOKUP('Investment Proposal'!B155, Table33[Investment Name], Table33[Sum])), _xlfn.XLOOKUP('Investment Proposal'!B155, Table33[Investment Name], Table33[Override Investment Amount])), "")</f>
        <v/>
      </c>
      <c r="D155" s="275">
        <f>IFERROR(_xlfn.XLOOKUP(B155, 'Asset Class Tables and Dropdown'!$A$3:$A$1001, 'Asset Class Tables and Dropdown'!$C$3:$C$1001),"")</f>
        <v>2.8000000000000001E-2</v>
      </c>
      <c r="E155" s="276" t="str">
        <f t="shared" si="17"/>
        <v/>
      </c>
      <c r="F155" s="276"/>
      <c r="G155" s="261" t="str">
        <f>IFERROR(IF(_xlfn.XLOOKUP(B155, 'Asset Class Tables and Dropdown'!$A$3:$A$1001, 'Asset Class Tables and Dropdown'!$D$3:$D$1001)=0, "", _xlfn.XLOOKUP(B155, 'Asset Class Tables and Dropdown'!$A$3:$A$1001, 'Asset Class Tables and Dropdown'!$D$3:$D$1001)), "")</f>
        <v>High</v>
      </c>
      <c r="H155" s="261" t="str">
        <f>IFERROR(IF(_xlfn.XLOOKUP(B155, 'Asset Class Tables and Dropdown'!$A$3:$A$1001, 'Asset Class Tables and Dropdown'!$E$3:$E$1001)=0, "", _xlfn.XLOOKUP(B155, 'Asset Class Tables and Dropdown'!$A$3:$A$1001, 'Asset Class Tables and Dropdown'!$E$3:$E$1001)),"")</f>
        <v>Aggressive</v>
      </c>
      <c r="I155" s="227">
        <f t="shared" si="16"/>
        <v>0</v>
      </c>
      <c r="K155" s="213" t="str">
        <f t="shared" si="18"/>
        <v>Plymouth Industrial REIT</v>
      </c>
      <c r="L155" s="213"/>
      <c r="M155" s="213"/>
      <c r="N155" s="213"/>
      <c r="O155" s="213"/>
      <c r="P155" s="213"/>
      <c r="Q155" s="213"/>
      <c r="R155" s="213"/>
      <c r="S155" s="213"/>
      <c r="T155" s="213"/>
      <c r="U155" s="213"/>
    </row>
    <row r="156" spans="2:21" ht="26" hidden="1" customHeight="1">
      <c r="B156" s="270" t="s">
        <v>473</v>
      </c>
      <c r="C156" s="274" t="str">
        <f>IFERROR(IF(_xlfn.XLOOKUP(B156, Table33[Investment Name], Table33[Override Investment Amount]) = 0, IF(_xlfn.XLOOKUP('Investment Proposal'!B156, Table33[Investment Name], Table33[Sum]) = 0, "", _xlfn.XLOOKUP('Investment Proposal'!B156, Table33[Investment Name], Table33[Sum])), _xlfn.XLOOKUP('Investment Proposal'!B156, Table33[Investment Name], Table33[Override Investment Amount])), "")</f>
        <v/>
      </c>
      <c r="D156" s="275">
        <f>IFERROR(_xlfn.XLOOKUP(B156, 'Asset Class Tables and Dropdown'!$A$3:$A$1001, 'Asset Class Tables and Dropdown'!$C$3:$C$1001),"")</f>
        <v>0</v>
      </c>
      <c r="E156" s="276" t="str">
        <f t="shared" si="17"/>
        <v/>
      </c>
      <c r="F156" s="276"/>
      <c r="G156" s="261" t="str">
        <f>IFERROR(IF(_xlfn.XLOOKUP(B156, 'Asset Class Tables and Dropdown'!$A$3:$A$1001, 'Asset Class Tables and Dropdown'!$D$3:$D$1001)=0, "", _xlfn.XLOOKUP(B156, 'Asset Class Tables and Dropdown'!$A$3:$A$1001, 'Asset Class Tables and Dropdown'!$D$3:$D$1001)), "")</f>
        <v>High</v>
      </c>
      <c r="H156" s="261" t="str">
        <f>IFERROR(IF(_xlfn.XLOOKUP(B156, 'Asset Class Tables and Dropdown'!$A$3:$A$1001, 'Asset Class Tables and Dropdown'!$E$3:$E$1001)=0, "", _xlfn.XLOOKUP(B156, 'Asset Class Tables and Dropdown'!$A$3:$A$1001, 'Asset Class Tables and Dropdown'!$E$3:$E$1001)),"")</f>
        <v>Aggressive</v>
      </c>
      <c r="I156" s="227">
        <f t="shared" si="16"/>
        <v>0</v>
      </c>
      <c r="K156" s="213" t="str">
        <f t="shared" si="18"/>
        <v>Royal Caribbean Cruises</v>
      </c>
      <c r="L156" s="213"/>
      <c r="M156" s="213"/>
      <c r="N156" s="213"/>
      <c r="O156" s="213"/>
      <c r="P156" s="213"/>
      <c r="Q156" s="213"/>
      <c r="R156" s="213"/>
      <c r="S156" s="213"/>
      <c r="T156" s="213"/>
      <c r="U156" s="213"/>
    </row>
    <row r="157" spans="2:21" ht="26" hidden="1" customHeight="1">
      <c r="B157" s="270" t="s">
        <v>406</v>
      </c>
      <c r="C157" s="274" t="str">
        <f>IFERROR(IF(_xlfn.XLOOKUP(B157, Table33[Investment Name], Table33[Override Investment Amount]) = 0, IF(_xlfn.XLOOKUP('Investment Proposal'!B157, Table33[Investment Name], Table33[Sum]) = 0, "", _xlfn.XLOOKUP('Investment Proposal'!B157, Table33[Investment Name], Table33[Sum])), _xlfn.XLOOKUP('Investment Proposal'!B157, Table33[Investment Name], Table33[Override Investment Amount])), "")</f>
        <v/>
      </c>
      <c r="D157" s="275">
        <f>IFERROR(_xlfn.XLOOKUP(B157, 'Asset Class Tables and Dropdown'!$A$3:$A$1001, 'Asset Class Tables and Dropdown'!$C$3:$C$1001),"")</f>
        <v>4.9799999999999997E-2</v>
      </c>
      <c r="E157" s="276" t="str">
        <f t="shared" si="17"/>
        <v/>
      </c>
      <c r="F157" s="276"/>
      <c r="G157" s="261" t="str">
        <f>IFERROR(IF(_xlfn.XLOOKUP(B157, 'Asset Class Tables and Dropdown'!$A$3:$A$1001, 'Asset Class Tables and Dropdown'!$D$3:$D$1001)=0, "", _xlfn.XLOOKUP(B157, 'Asset Class Tables and Dropdown'!$A$3:$A$1001, 'Asset Class Tables and Dropdown'!$D$3:$D$1001)), "")</f>
        <v>High</v>
      </c>
      <c r="H157" s="261" t="str">
        <f>IFERROR(IF(_xlfn.XLOOKUP(B157, 'Asset Class Tables and Dropdown'!$A$3:$A$1001, 'Asset Class Tables and Dropdown'!$E$3:$E$1001)=0, "", _xlfn.XLOOKUP(B157, 'Asset Class Tables and Dropdown'!$A$3:$A$1001, 'Asset Class Tables and Dropdown'!$E$3:$E$1001)),"")</f>
        <v>Aggressive</v>
      </c>
      <c r="I157" s="227">
        <f t="shared" si="16"/>
        <v>0</v>
      </c>
      <c r="K157" s="213" t="str">
        <f t="shared" si="18"/>
        <v>Sixth Street Specialty Lending</v>
      </c>
    </row>
    <row r="158" spans="2:21" ht="26" hidden="1" customHeight="1">
      <c r="B158" s="270" t="s">
        <v>404</v>
      </c>
      <c r="C158" s="274" t="str">
        <f>IFERROR(IF(_xlfn.XLOOKUP(B158, Table33[Investment Name], Table33[Override Investment Amount]) = 0, IF(_xlfn.XLOOKUP('Investment Proposal'!B158, Table33[Investment Name], Table33[Sum]) = 0, "", _xlfn.XLOOKUP('Investment Proposal'!B158, Table33[Investment Name], Table33[Sum])), _xlfn.XLOOKUP('Investment Proposal'!B158, Table33[Investment Name], Table33[Override Investment Amount])), "")</f>
        <v/>
      </c>
      <c r="D158" s="275">
        <f>IFERROR(_xlfn.XLOOKUP(B158, 'Asset Class Tables and Dropdown'!$A$3:$A$1001, 'Asset Class Tables and Dropdown'!$C$3:$C$1001),"")</f>
        <v>0</v>
      </c>
      <c r="E158" s="276" t="str">
        <f t="shared" si="17"/>
        <v/>
      </c>
      <c r="F158" s="276"/>
      <c r="G158" s="261" t="str">
        <f>IFERROR(IF(_xlfn.XLOOKUP(B158, 'Asset Class Tables and Dropdown'!$A$3:$A$1001, 'Asset Class Tables and Dropdown'!$D$3:$D$1001)=0, "", _xlfn.XLOOKUP(B158, 'Asset Class Tables and Dropdown'!$A$3:$A$1001, 'Asset Class Tables and Dropdown'!$D$3:$D$1001)), "")</f>
        <v>Mid</v>
      </c>
      <c r="H158" s="261" t="str">
        <f>IFERROR(IF(_xlfn.XLOOKUP(B158, 'Asset Class Tables and Dropdown'!$A$3:$A$1001, 'Asset Class Tables and Dropdown'!$E$3:$E$1001)=0, "", _xlfn.XLOOKUP(B158, 'Asset Class Tables and Dropdown'!$A$3:$A$1001, 'Asset Class Tables and Dropdown'!$E$3:$E$1001)),"")</f>
        <v>Moderate/Aggressive</v>
      </c>
      <c r="I158" s="227">
        <f t="shared" si="16"/>
        <v>0</v>
      </c>
      <c r="K158" s="213" t="str">
        <f t="shared" si="18"/>
        <v>S&amp;P500 Structured Note - Growth</v>
      </c>
    </row>
    <row r="159" spans="2:21" ht="26" hidden="1" customHeight="1">
      <c r="B159" s="270" t="s">
        <v>474</v>
      </c>
      <c r="C159" s="274" t="str">
        <f>IFERROR(IF(_xlfn.XLOOKUP(B159, Table33[Investment Name], Table33[Override Investment Amount]) = 0, IF(_xlfn.XLOOKUP('Investment Proposal'!B159, Table33[Investment Name], Table33[Sum]) = 0, "", _xlfn.XLOOKUP('Investment Proposal'!B159, Table33[Investment Name], Table33[Sum])), _xlfn.XLOOKUP('Investment Proposal'!B159, Table33[Investment Name], Table33[Override Investment Amount])), "")</f>
        <v/>
      </c>
      <c r="D159" s="275">
        <f>IFERROR(_xlfn.XLOOKUP(B159, 'Asset Class Tables and Dropdown'!$A$3:$A$1001, 'Asset Class Tables and Dropdown'!$C$3:$C$1001),"")</f>
        <v>0</v>
      </c>
      <c r="E159" s="276" t="str">
        <f t="shared" si="17"/>
        <v/>
      </c>
      <c r="F159" s="276"/>
      <c r="G159" s="261" t="str">
        <f>IFERROR(IF(_xlfn.XLOOKUP(B159, 'Asset Class Tables and Dropdown'!$A$3:$A$1001, 'Asset Class Tables and Dropdown'!$D$3:$D$1001)=0, "", _xlfn.XLOOKUP(B159, 'Asset Class Tables and Dropdown'!$A$3:$A$1001, 'Asset Class Tables and Dropdown'!$D$3:$D$1001)), "")</f>
        <v>High</v>
      </c>
      <c r="H159" s="261" t="str">
        <f>IFERROR(IF(_xlfn.XLOOKUP(B159, 'Asset Class Tables and Dropdown'!$A$3:$A$1001, 'Asset Class Tables and Dropdown'!$E$3:$E$1001)=0, "", _xlfn.XLOOKUP(B159, 'Asset Class Tables and Dropdown'!$A$3:$A$1001, 'Asset Class Tables and Dropdown'!$E$3:$E$1001)),"")</f>
        <v>Aggressive</v>
      </c>
      <c r="I159" s="227">
        <f t="shared" si="16"/>
        <v>0</v>
      </c>
      <c r="K159" s="213" t="str">
        <f t="shared" si="18"/>
        <v>Southwest Airlines</v>
      </c>
    </row>
    <row r="160" spans="2:21" ht="26" hidden="1" customHeight="1">
      <c r="B160" s="270" t="s">
        <v>412</v>
      </c>
      <c r="C160" s="274" t="str">
        <f>IFERROR(IF(_xlfn.XLOOKUP(B160, Table33[Investment Name], Table33[Override Investment Amount]) = 0, IF(_xlfn.XLOOKUP('Investment Proposal'!B160, Table33[Investment Name], Table33[Sum]) = 0, "", _xlfn.XLOOKUP('Investment Proposal'!B160, Table33[Investment Name], Table33[Sum])), _xlfn.XLOOKUP('Investment Proposal'!B160, Table33[Investment Name], Table33[Override Investment Amount])), "")</f>
        <v/>
      </c>
      <c r="D160" s="275">
        <f>IFERROR(_xlfn.XLOOKUP(B160, 'Asset Class Tables and Dropdown'!$A$3:$A$1001, 'Asset Class Tables and Dropdown'!$C$3:$C$1001),"")</f>
        <v>0</v>
      </c>
      <c r="E160" s="276" t="str">
        <f t="shared" si="17"/>
        <v/>
      </c>
      <c r="F160" s="276"/>
      <c r="G160" s="261" t="str">
        <f>IFERROR(IF(_xlfn.XLOOKUP(B160, 'Asset Class Tables and Dropdown'!$A$3:$A$1001, 'Asset Class Tables and Dropdown'!$D$3:$D$1001)=0, "", _xlfn.XLOOKUP(B160, 'Asset Class Tables and Dropdown'!$A$3:$A$1001, 'Asset Class Tables and Dropdown'!$D$3:$D$1001)), "")</f>
        <v>High</v>
      </c>
      <c r="H160" s="261" t="str">
        <f>IFERROR(IF(_xlfn.XLOOKUP(B160, 'Asset Class Tables and Dropdown'!$A$3:$A$1001, 'Asset Class Tables and Dropdown'!$E$3:$E$1001)=0, "", _xlfn.XLOOKUP(B160, 'Asset Class Tables and Dropdown'!$A$3:$A$1001, 'Asset Class Tables and Dropdown'!$E$3:$E$1001)),"")</f>
        <v>Aggressive</v>
      </c>
      <c r="I160" s="227">
        <f t="shared" si="16"/>
        <v>0</v>
      </c>
      <c r="K160" s="213" t="str">
        <f t="shared" si="18"/>
        <v xml:space="preserve">Taiwan Semiconductor </v>
      </c>
    </row>
    <row r="161" spans="2:11" ht="26" hidden="1" customHeight="1">
      <c r="B161" s="270" t="s">
        <v>413</v>
      </c>
      <c r="C161" s="274" t="str">
        <f>IFERROR(IF(_xlfn.XLOOKUP(B161, Table33[Investment Name], Table33[Override Investment Amount]) = 0, IF(_xlfn.XLOOKUP('Investment Proposal'!B161, Table33[Investment Name], Table33[Sum]) = 0, "", _xlfn.XLOOKUP('Investment Proposal'!B161, Table33[Investment Name], Table33[Sum])), _xlfn.XLOOKUP('Investment Proposal'!B161, Table33[Investment Name], Table33[Override Investment Amount])), "")</f>
        <v/>
      </c>
      <c r="D161" s="275">
        <f>IFERROR(_xlfn.XLOOKUP(B161, 'Asset Class Tables and Dropdown'!$A$3:$A$1001, 'Asset Class Tables and Dropdown'!$C$3:$C$1001),"")</f>
        <v>9.1999999999999998E-3</v>
      </c>
      <c r="E161" s="276" t="str">
        <f t="shared" si="17"/>
        <v/>
      </c>
      <c r="F161" s="276"/>
      <c r="G161" s="261" t="str">
        <f>IFERROR(IF(_xlfn.XLOOKUP(B161, 'Asset Class Tables and Dropdown'!$A$3:$A$1001, 'Asset Class Tables and Dropdown'!$D$3:$D$1001)=0, "", _xlfn.XLOOKUP(B161, 'Asset Class Tables and Dropdown'!$A$3:$A$1001, 'Asset Class Tables and Dropdown'!$D$3:$D$1001)), "")</f>
        <v>High</v>
      </c>
      <c r="H161" s="261" t="str">
        <f>IFERROR(IF(_xlfn.XLOOKUP(B161, 'Asset Class Tables and Dropdown'!$A$3:$A$1001, 'Asset Class Tables and Dropdown'!$E$3:$E$1001)=0, "", _xlfn.XLOOKUP(B161, 'Asset Class Tables and Dropdown'!$A$3:$A$1001, 'Asset Class Tables and Dropdown'!$E$3:$E$1001)),"")</f>
        <v>Aggressive</v>
      </c>
      <c r="I161" s="227">
        <f t="shared" si="16"/>
        <v>0</v>
      </c>
      <c r="K161" s="213" t="str">
        <f t="shared" si="18"/>
        <v>Undiscovered Managers Behavioral Value</v>
      </c>
    </row>
    <row r="162" spans="2:11" ht="26" customHeight="1">
      <c r="B162" s="270" t="s">
        <v>129</v>
      </c>
      <c r="C162" s="274" t="str">
        <f>IFERROR(IF(_xlfn.XLOOKUP(B162, Table33[Investment Name], Table33[Override Investment Amount]) = 0, IF(_xlfn.XLOOKUP('Investment Proposal'!B162, Table33[Investment Name], Table33[Sum]) = 0, "", _xlfn.XLOOKUP('Investment Proposal'!B162, Table33[Investment Name], Table33[Sum])), _xlfn.XLOOKUP('Investment Proposal'!B162, Table33[Investment Name], Table33[Override Investment Amount])), "")</f>
        <v/>
      </c>
      <c r="D162" s="275">
        <f>IFERROR(_xlfn.XLOOKUP(B162, 'Asset Class Tables and Dropdown'!$A$3:$A$1001, 'Asset Class Tables and Dropdown'!$C$3:$C$1001),"")</f>
        <v>0</v>
      </c>
      <c r="E162" s="276" t="str">
        <f t="shared" si="17"/>
        <v/>
      </c>
      <c r="F162" s="276"/>
      <c r="G162" s="261" t="str">
        <f>IFERROR(IF(_xlfn.XLOOKUP(B162, 'Asset Class Tables and Dropdown'!$A$3:$A$1001, 'Asset Class Tables and Dropdown'!$D$3:$D$1001)=0, "", _xlfn.XLOOKUP(B162, 'Asset Class Tables and Dropdown'!$A$3:$A$1001, 'Asset Class Tables and Dropdown'!$D$3:$D$1001)), "")</f>
        <v>High</v>
      </c>
      <c r="H162" s="261" t="str">
        <f>IFERROR(IF(_xlfn.XLOOKUP(B162, 'Asset Class Tables and Dropdown'!$A$3:$A$1001, 'Asset Class Tables and Dropdown'!$E$3:$E$1001)=0, "", _xlfn.XLOOKUP(B162, 'Asset Class Tables and Dropdown'!$A$3:$A$1001, 'Asset Class Tables and Dropdown'!$E$3:$E$1001)),"")</f>
        <v>Aggressive</v>
      </c>
      <c r="I162" s="227">
        <f t="shared" si="16"/>
        <v>0</v>
      </c>
      <c r="K162" s="213" t="str">
        <f t="shared" si="18"/>
        <v>Zscaler Inc</v>
      </c>
    </row>
    <row r="163" spans="2:11" ht="26" hidden="1" customHeight="1">
      <c r="B163" s="270"/>
      <c r="C163" s="274" t="str">
        <f>IFERROR(IF(_xlfn.XLOOKUP(B163, Table33[Investment Name], Table33[Override Investment Amount]) = 0, IF(_xlfn.XLOOKUP('Investment Proposal'!B163, Table33[Investment Name], Table33[Sum]) = 0, "", _xlfn.XLOOKUP('Investment Proposal'!B163, Table33[Investment Name], Table33[Sum])), _xlfn.XLOOKUP('Investment Proposal'!B163, Table33[Investment Name], Table33[Override Investment Amount])), "")</f>
        <v/>
      </c>
      <c r="D163" s="275">
        <f>IFERROR(_xlfn.XLOOKUP(B163, 'Asset Class Tables and Dropdown'!$A$3:$A$1001, 'Asset Class Tables and Dropdown'!$C$3:$C$1001),"")</f>
        <v>0</v>
      </c>
      <c r="E163" s="276" t="str">
        <f t="shared" si="17"/>
        <v/>
      </c>
      <c r="F163" s="276"/>
      <c r="G163" s="261" t="str">
        <f>IFERROR(IF(_xlfn.XLOOKUP(B163, 'Asset Class Tables and Dropdown'!$A$3:$A$1001, 'Asset Class Tables and Dropdown'!$D$3:$D$1001)=0, "", _xlfn.XLOOKUP(B163, 'Asset Class Tables and Dropdown'!$A$3:$A$1001, 'Asset Class Tables and Dropdown'!$D$3:$D$1001)), "")</f>
        <v/>
      </c>
      <c r="H163" s="261" t="str">
        <f>IFERROR(IF(_xlfn.XLOOKUP(B163, 'Asset Class Tables and Dropdown'!$A$3:$A$1001, 'Asset Class Tables and Dropdown'!$E$3:$E$1001)=0, "", _xlfn.XLOOKUP(B163, 'Asset Class Tables and Dropdown'!$A$3:$A$1001, 'Asset Class Tables and Dropdown'!$E$3:$E$1001)),"")</f>
        <v/>
      </c>
      <c r="I163" s="227">
        <f t="shared" si="16"/>
        <v>0</v>
      </c>
      <c r="K163" s="213" t="str">
        <f t="shared" si="18"/>
        <v/>
      </c>
    </row>
    <row r="164" spans="2:11" ht="26" hidden="1" customHeight="1">
      <c r="B164" s="270"/>
      <c r="C164" s="274" t="str">
        <f>IFERROR(IF(_xlfn.XLOOKUP(B164, Table33[Investment Name], Table33[Override Investment Amount]) = 0, IF(_xlfn.XLOOKUP('Investment Proposal'!B164, Table33[Investment Name], Table33[Sum]) = 0, "", _xlfn.XLOOKUP('Investment Proposal'!B164, Table33[Investment Name], Table33[Sum])), _xlfn.XLOOKUP('Investment Proposal'!B164, Table33[Investment Name], Table33[Override Investment Amount])), "")</f>
        <v/>
      </c>
      <c r="D164" s="275">
        <f>IFERROR(_xlfn.XLOOKUP(B164, 'Asset Class Tables and Dropdown'!$A$3:$A$1001, 'Asset Class Tables and Dropdown'!$C$3:$C$1001),"")</f>
        <v>0</v>
      </c>
      <c r="E164" s="276" t="str">
        <f t="shared" si="17"/>
        <v/>
      </c>
      <c r="F164" s="276"/>
      <c r="G164" s="261" t="str">
        <f>IFERROR(IF(_xlfn.XLOOKUP(B164, 'Asset Class Tables and Dropdown'!$A$3:$A$1001, 'Asset Class Tables and Dropdown'!$D$3:$D$1001)=0, "", _xlfn.XLOOKUP(B164, 'Asset Class Tables and Dropdown'!$A$3:$A$1001, 'Asset Class Tables and Dropdown'!$D$3:$D$1001)), "")</f>
        <v/>
      </c>
      <c r="H164" s="261" t="str">
        <f>IFERROR(IF(_xlfn.XLOOKUP(B164, 'Asset Class Tables and Dropdown'!$A$3:$A$1001, 'Asset Class Tables and Dropdown'!$E$3:$E$1001)=0, "", _xlfn.XLOOKUP(B164, 'Asset Class Tables and Dropdown'!$A$3:$A$1001, 'Asset Class Tables and Dropdown'!$E$3:$E$1001)),"")</f>
        <v/>
      </c>
      <c r="I164" s="227">
        <f t="shared" si="16"/>
        <v>0</v>
      </c>
      <c r="K164" s="213" t="str">
        <f t="shared" si="18"/>
        <v/>
      </c>
    </row>
    <row r="165" spans="2:11" ht="26" hidden="1" customHeight="1">
      <c r="B165" s="270"/>
      <c r="C165" s="274" t="str">
        <f>IFERROR(IF(_xlfn.XLOOKUP(B165, Table33[Investment Name], Table33[Override Investment Amount]) = 0, IF(_xlfn.XLOOKUP('Investment Proposal'!B165, Table33[Investment Name], Table33[Sum]) = 0, "", _xlfn.XLOOKUP('Investment Proposal'!B165, Table33[Investment Name], Table33[Sum])), _xlfn.XLOOKUP('Investment Proposal'!B165, Table33[Investment Name], Table33[Override Investment Amount])), "")</f>
        <v/>
      </c>
      <c r="D165" s="275">
        <f>IFERROR(_xlfn.XLOOKUP(B165, 'Asset Class Tables and Dropdown'!$A$3:$A$1001, 'Asset Class Tables and Dropdown'!$C$3:$C$1001),"")</f>
        <v>0</v>
      </c>
      <c r="E165" s="276" t="str">
        <f t="shared" si="17"/>
        <v/>
      </c>
      <c r="F165" s="276"/>
      <c r="G165" s="261" t="str">
        <f>IFERROR(IF(_xlfn.XLOOKUP(B165, 'Asset Class Tables and Dropdown'!$A$3:$A$1001, 'Asset Class Tables and Dropdown'!$D$3:$D$1001)=0, "", _xlfn.XLOOKUP(B165, 'Asset Class Tables and Dropdown'!$A$3:$A$1001, 'Asset Class Tables and Dropdown'!$D$3:$D$1001)), "")</f>
        <v/>
      </c>
      <c r="H165" s="261" t="str">
        <f>IFERROR(IF(_xlfn.XLOOKUP(B165, 'Asset Class Tables and Dropdown'!$A$3:$A$1001, 'Asset Class Tables and Dropdown'!$E$3:$E$1001)=0, "", _xlfn.XLOOKUP(B165, 'Asset Class Tables and Dropdown'!$A$3:$A$1001, 'Asset Class Tables and Dropdown'!$E$3:$E$1001)),"")</f>
        <v/>
      </c>
      <c r="I165" s="227">
        <f t="shared" si="16"/>
        <v>0</v>
      </c>
      <c r="K165" s="213" t="str">
        <f t="shared" si="18"/>
        <v/>
      </c>
    </row>
    <row r="166" spans="2:11" ht="26" hidden="1" customHeight="1">
      <c r="B166" s="270"/>
      <c r="C166" s="274" t="str">
        <f>IFERROR(IF(_xlfn.XLOOKUP(B166, Table33[Investment Name], Table33[Override Investment Amount]) = 0, IF(_xlfn.XLOOKUP('Investment Proposal'!B166, Table33[Investment Name], Table33[Sum]) = 0, "", _xlfn.XLOOKUP('Investment Proposal'!B166, Table33[Investment Name], Table33[Sum])), _xlfn.XLOOKUP('Investment Proposal'!B166, Table33[Investment Name], Table33[Override Investment Amount])), "")</f>
        <v/>
      </c>
      <c r="D166" s="275">
        <f>IFERROR(_xlfn.XLOOKUP(B166, 'Asset Class Tables and Dropdown'!$A$3:$A$1001, 'Asset Class Tables and Dropdown'!$C$3:$C$1001),"")</f>
        <v>0</v>
      </c>
      <c r="E166" s="276" t="str">
        <f t="shared" si="17"/>
        <v/>
      </c>
      <c r="F166" s="276"/>
      <c r="G166" s="261" t="str">
        <f>IFERROR(IF(_xlfn.XLOOKUP(B166, 'Asset Class Tables and Dropdown'!$A$3:$A$1001, 'Asset Class Tables and Dropdown'!$D$3:$D$1001)=0, "", _xlfn.XLOOKUP(B166, 'Asset Class Tables and Dropdown'!$A$3:$A$1001, 'Asset Class Tables and Dropdown'!$D$3:$D$1001)), "")</f>
        <v/>
      </c>
      <c r="H166" s="261" t="str">
        <f>IFERROR(IF(_xlfn.XLOOKUP(B166, 'Asset Class Tables and Dropdown'!$A$3:$A$1001, 'Asset Class Tables and Dropdown'!$E$3:$E$1001)=0, "", _xlfn.XLOOKUP(B166, 'Asset Class Tables and Dropdown'!$A$3:$A$1001, 'Asset Class Tables and Dropdown'!$E$3:$E$1001)),"")</f>
        <v/>
      </c>
      <c r="I166" s="227">
        <f t="shared" si="16"/>
        <v>0</v>
      </c>
      <c r="K166" s="213" t="str">
        <f t="shared" si="18"/>
        <v/>
      </c>
    </row>
    <row r="167" spans="2:11" ht="26" hidden="1" customHeight="1">
      <c r="B167" s="270"/>
      <c r="C167" s="274" t="str">
        <f>IFERROR(IF(_xlfn.XLOOKUP(B167, Table33[Investment Name], Table33[Override Investment Amount]) = 0, IF(_xlfn.XLOOKUP('Investment Proposal'!B167, Table33[Investment Name], Table33[Sum]) = 0, "", _xlfn.XLOOKUP('Investment Proposal'!B167, Table33[Investment Name], Table33[Sum])), _xlfn.XLOOKUP('Investment Proposal'!B167, Table33[Investment Name], Table33[Override Investment Amount])), "")</f>
        <v/>
      </c>
      <c r="D167" s="275">
        <f>IFERROR(_xlfn.XLOOKUP(B167, 'Asset Class Tables and Dropdown'!$A$3:$A$1001, 'Asset Class Tables and Dropdown'!$C$3:$C$1001),"")</f>
        <v>0</v>
      </c>
      <c r="E167" s="276" t="str">
        <f t="shared" si="17"/>
        <v/>
      </c>
      <c r="F167" s="276"/>
      <c r="G167" s="261" t="str">
        <f>IFERROR(IF(_xlfn.XLOOKUP(B167, 'Asset Class Tables and Dropdown'!$A$3:$A$1001, 'Asset Class Tables and Dropdown'!$D$3:$D$1001)=0, "", _xlfn.XLOOKUP(B167, 'Asset Class Tables and Dropdown'!$A$3:$A$1001, 'Asset Class Tables and Dropdown'!$D$3:$D$1001)), "")</f>
        <v/>
      </c>
      <c r="H167" s="261" t="str">
        <f>IFERROR(IF(_xlfn.XLOOKUP(B167, 'Asset Class Tables and Dropdown'!$A$3:$A$1001, 'Asset Class Tables and Dropdown'!$E$3:$E$1001)=0, "", _xlfn.XLOOKUP(B167, 'Asset Class Tables and Dropdown'!$A$3:$A$1001, 'Asset Class Tables and Dropdown'!$E$3:$E$1001)),"")</f>
        <v/>
      </c>
      <c r="I167" s="227">
        <f t="shared" si="16"/>
        <v>0</v>
      </c>
      <c r="K167" s="213" t="str">
        <f t="shared" si="18"/>
        <v/>
      </c>
    </row>
    <row r="168" spans="2:11" ht="26" hidden="1" customHeight="1">
      <c r="B168" s="270"/>
      <c r="C168" s="274" t="str">
        <f>IFERROR(IF(_xlfn.XLOOKUP(B168, Table33[Investment Name], Table33[Override Investment Amount]) = 0, IF(_xlfn.XLOOKUP('Investment Proposal'!B168, Table33[Investment Name], Table33[Sum]) = 0, "", _xlfn.XLOOKUP('Investment Proposal'!B168, Table33[Investment Name], Table33[Sum])), _xlfn.XLOOKUP('Investment Proposal'!B168, Table33[Investment Name], Table33[Override Investment Amount])), "")</f>
        <v/>
      </c>
      <c r="D168" s="275">
        <f>IFERROR(_xlfn.XLOOKUP(B168, 'Asset Class Tables and Dropdown'!$A$3:$A$1001, 'Asset Class Tables and Dropdown'!$C$3:$C$1001),"")</f>
        <v>0</v>
      </c>
      <c r="E168" s="276" t="str">
        <f t="shared" si="17"/>
        <v/>
      </c>
      <c r="F168" s="276"/>
      <c r="G168" s="261" t="str">
        <f>IFERROR(IF(_xlfn.XLOOKUP(B168, 'Asset Class Tables and Dropdown'!$A$3:$A$1001, 'Asset Class Tables and Dropdown'!$D$3:$D$1001)=0, "", _xlfn.XLOOKUP(B168, 'Asset Class Tables and Dropdown'!$A$3:$A$1001, 'Asset Class Tables and Dropdown'!$D$3:$D$1001)), "")</f>
        <v/>
      </c>
      <c r="H168" s="261" t="str">
        <f>IFERROR(IF(_xlfn.XLOOKUP(B168, 'Asset Class Tables and Dropdown'!$A$3:$A$1001, 'Asset Class Tables and Dropdown'!$E$3:$E$1001)=0, "", _xlfn.XLOOKUP(B168, 'Asset Class Tables and Dropdown'!$A$3:$A$1001, 'Asset Class Tables and Dropdown'!$E$3:$E$1001)),"")</f>
        <v/>
      </c>
      <c r="I168" s="227">
        <f t="shared" si="16"/>
        <v>0</v>
      </c>
      <c r="K168" s="213" t="str">
        <f t="shared" si="18"/>
        <v/>
      </c>
    </row>
    <row r="169" spans="2:11" ht="26" hidden="1" customHeight="1">
      <c r="B169" s="270"/>
      <c r="C169" s="274" t="str">
        <f>IFERROR(IF(_xlfn.XLOOKUP(B169, Table33[Investment Name], Table33[Override Investment Amount]) = 0, IF(_xlfn.XLOOKUP('Investment Proposal'!B169, Table33[Investment Name], Table33[Sum]) = 0, "", _xlfn.XLOOKUP('Investment Proposal'!B169, Table33[Investment Name], Table33[Sum])), _xlfn.XLOOKUP('Investment Proposal'!B169, Table33[Investment Name], Table33[Override Investment Amount])), "")</f>
        <v/>
      </c>
      <c r="D169" s="275">
        <f>IFERROR(_xlfn.XLOOKUP(B169, 'Asset Class Tables and Dropdown'!$A$3:$A$1001, 'Asset Class Tables and Dropdown'!$C$3:$C$1001),"")</f>
        <v>0</v>
      </c>
      <c r="E169" s="276" t="str">
        <f t="shared" si="17"/>
        <v/>
      </c>
      <c r="F169" s="276"/>
      <c r="G169" s="261" t="str">
        <f>IFERROR(IF(_xlfn.XLOOKUP(B169, 'Asset Class Tables and Dropdown'!$A$3:$A$1001, 'Asset Class Tables and Dropdown'!$D$3:$D$1001)=0, "", _xlfn.XLOOKUP(B169, 'Asset Class Tables and Dropdown'!$A$3:$A$1001, 'Asset Class Tables and Dropdown'!$D$3:$D$1001)), "")</f>
        <v/>
      </c>
      <c r="H169" s="261" t="str">
        <f>IFERROR(IF(_xlfn.XLOOKUP(B169, 'Asset Class Tables and Dropdown'!$A$3:$A$1001, 'Asset Class Tables and Dropdown'!$E$3:$E$1001)=0, "", _xlfn.XLOOKUP(B169, 'Asset Class Tables and Dropdown'!$A$3:$A$1001, 'Asset Class Tables and Dropdown'!$E$3:$E$1001)),"")</f>
        <v/>
      </c>
      <c r="I169" s="227">
        <f t="shared" si="16"/>
        <v>0</v>
      </c>
      <c r="K169" s="213" t="str">
        <f t="shared" si="18"/>
        <v/>
      </c>
    </row>
    <row r="170" spans="2:11" ht="26" hidden="1" customHeight="1">
      <c r="B170" s="270"/>
      <c r="C170" s="274" t="str">
        <f>IFERROR(IF(_xlfn.XLOOKUP(B170, Table33[Investment Name], Table33[Override Investment Amount]) = 0, IF(_xlfn.XLOOKUP('Investment Proposal'!B170, Table33[Investment Name], Table33[Sum]) = 0, "", _xlfn.XLOOKUP('Investment Proposal'!B170, Table33[Investment Name], Table33[Sum])), _xlfn.XLOOKUP('Investment Proposal'!B170, Table33[Investment Name], Table33[Override Investment Amount])), "")</f>
        <v/>
      </c>
      <c r="D170" s="275">
        <f>IFERROR(_xlfn.XLOOKUP(B170, 'Asset Class Tables and Dropdown'!$A$3:$A$1001, 'Asset Class Tables and Dropdown'!$C$3:$C$1001),"")</f>
        <v>0</v>
      </c>
      <c r="E170" s="276" t="str">
        <f t="shared" si="17"/>
        <v/>
      </c>
      <c r="F170" s="276"/>
      <c r="G170" s="261" t="str">
        <f>IFERROR(IF(_xlfn.XLOOKUP(B170, 'Asset Class Tables and Dropdown'!$A$3:$A$1001, 'Asset Class Tables and Dropdown'!$D$3:$D$1001)=0, "", _xlfn.XLOOKUP(B170, 'Asset Class Tables and Dropdown'!$A$3:$A$1001, 'Asset Class Tables and Dropdown'!$D$3:$D$1001)), "")</f>
        <v/>
      </c>
      <c r="H170" s="261" t="str">
        <f>IFERROR(IF(_xlfn.XLOOKUP(B170, 'Asset Class Tables and Dropdown'!$A$3:$A$1001, 'Asset Class Tables and Dropdown'!$E$3:$E$1001)=0, "", _xlfn.XLOOKUP(B170, 'Asset Class Tables and Dropdown'!$A$3:$A$1001, 'Asset Class Tables and Dropdown'!$E$3:$E$1001)),"")</f>
        <v/>
      </c>
      <c r="I170" s="227">
        <f t="shared" si="16"/>
        <v>0</v>
      </c>
      <c r="K170" s="213" t="str">
        <f t="shared" si="18"/>
        <v/>
      </c>
    </row>
    <row r="171" spans="2:11" ht="26" hidden="1" customHeight="1">
      <c r="B171" s="270"/>
      <c r="C171" s="274" t="str">
        <f>IFERROR(IF(_xlfn.XLOOKUP(B171, Table33[Investment Name], Table33[Override Investment Amount]) = 0, IF(_xlfn.XLOOKUP('Investment Proposal'!B171, Table33[Investment Name], Table33[Sum]) = 0, "", _xlfn.XLOOKUP('Investment Proposal'!B171, Table33[Investment Name], Table33[Sum])), _xlfn.XLOOKUP('Investment Proposal'!B171, Table33[Investment Name], Table33[Override Investment Amount])), "")</f>
        <v/>
      </c>
      <c r="D171" s="275">
        <f>IFERROR(_xlfn.XLOOKUP(B171, 'Asset Class Tables and Dropdown'!$A$3:$A$1001, 'Asset Class Tables and Dropdown'!$C$3:$C$1001),"")</f>
        <v>0</v>
      </c>
      <c r="E171" s="276" t="str">
        <f t="shared" si="17"/>
        <v/>
      </c>
      <c r="F171" s="276"/>
      <c r="G171" s="261" t="str">
        <f>IFERROR(IF(_xlfn.XLOOKUP(B171, 'Asset Class Tables and Dropdown'!$A$3:$A$1001, 'Asset Class Tables and Dropdown'!$D$3:$D$1001)=0, "", _xlfn.XLOOKUP(B171, 'Asset Class Tables and Dropdown'!$A$3:$A$1001, 'Asset Class Tables and Dropdown'!$D$3:$D$1001)), "")</f>
        <v/>
      </c>
      <c r="H171" s="261" t="str">
        <f>IFERROR(IF(_xlfn.XLOOKUP(B171, 'Asset Class Tables and Dropdown'!$A$3:$A$1001, 'Asset Class Tables and Dropdown'!$E$3:$E$1001)=0, "", _xlfn.XLOOKUP(B171, 'Asset Class Tables and Dropdown'!$A$3:$A$1001, 'Asset Class Tables and Dropdown'!$E$3:$E$1001)),"")</f>
        <v/>
      </c>
      <c r="I171" s="227">
        <f t="shared" si="16"/>
        <v>0</v>
      </c>
      <c r="K171" s="213" t="str">
        <f t="shared" si="18"/>
        <v/>
      </c>
    </row>
    <row r="172" spans="2:11" ht="26" hidden="1" customHeight="1">
      <c r="B172" s="270"/>
      <c r="C172" s="274" t="str">
        <f>IFERROR(IF(_xlfn.XLOOKUP(B172, Table33[Investment Name], Table33[Override Investment Amount]) = 0, IF(_xlfn.XLOOKUP('Investment Proposal'!B172, Table33[Investment Name], Table33[Sum]) = 0, "", _xlfn.XLOOKUP('Investment Proposal'!B172, Table33[Investment Name], Table33[Sum])), _xlfn.XLOOKUP('Investment Proposal'!B172, Table33[Investment Name], Table33[Override Investment Amount])), "")</f>
        <v/>
      </c>
      <c r="D172" s="275">
        <f>IFERROR(_xlfn.XLOOKUP(B172, 'Asset Class Tables and Dropdown'!$A$3:$A$1001, 'Asset Class Tables and Dropdown'!$C$3:$C$1001),"")</f>
        <v>0</v>
      </c>
      <c r="E172" s="276" t="str">
        <f t="shared" si="17"/>
        <v/>
      </c>
      <c r="F172" s="276"/>
      <c r="G172" s="261" t="str">
        <f>IFERROR(IF(_xlfn.XLOOKUP(B172, 'Asset Class Tables and Dropdown'!$A$3:$A$1001, 'Asset Class Tables and Dropdown'!$D$3:$D$1001)=0, "", _xlfn.XLOOKUP(B172, 'Asset Class Tables and Dropdown'!$A$3:$A$1001, 'Asset Class Tables and Dropdown'!$D$3:$D$1001)), "")</f>
        <v/>
      </c>
      <c r="H172" s="261" t="str">
        <f>IFERROR(IF(_xlfn.XLOOKUP(B172, 'Asset Class Tables and Dropdown'!$A$3:$A$1001, 'Asset Class Tables and Dropdown'!$E$3:$E$1001)=0, "", _xlfn.XLOOKUP(B172, 'Asset Class Tables and Dropdown'!$A$3:$A$1001, 'Asset Class Tables and Dropdown'!$E$3:$E$1001)),"")</f>
        <v/>
      </c>
      <c r="I172" s="227">
        <f t="shared" si="16"/>
        <v>0</v>
      </c>
      <c r="K172" s="213" t="str">
        <f t="shared" si="18"/>
        <v/>
      </c>
    </row>
    <row r="173" spans="2:11" ht="26" hidden="1" customHeight="1">
      <c r="B173" s="270"/>
      <c r="C173" s="274" t="str">
        <f>IFERROR(IF(_xlfn.XLOOKUP(B173, Table33[Investment Name], Table33[Override Investment Amount]) = 0, IF(_xlfn.XLOOKUP('Investment Proposal'!B173, Table33[Investment Name], Table33[Sum]) = 0, "", _xlfn.XLOOKUP('Investment Proposal'!B173, Table33[Investment Name], Table33[Sum])), _xlfn.XLOOKUP('Investment Proposal'!B173, Table33[Investment Name], Table33[Override Investment Amount])), "")</f>
        <v/>
      </c>
      <c r="D173" s="275">
        <f>IFERROR(_xlfn.XLOOKUP(B173, 'Asset Class Tables and Dropdown'!$A$3:$A$1001, 'Asset Class Tables and Dropdown'!$C$3:$C$1001),"")</f>
        <v>0</v>
      </c>
      <c r="E173" s="276" t="str">
        <f t="shared" si="17"/>
        <v/>
      </c>
      <c r="F173" s="276"/>
      <c r="G173" s="261" t="str">
        <f>IFERROR(IF(_xlfn.XLOOKUP(B173, 'Asset Class Tables and Dropdown'!$A$3:$A$1001, 'Asset Class Tables and Dropdown'!$D$3:$D$1001)=0, "", _xlfn.XLOOKUP(B173, 'Asset Class Tables and Dropdown'!$A$3:$A$1001, 'Asset Class Tables and Dropdown'!$D$3:$D$1001)), "")</f>
        <v/>
      </c>
      <c r="H173" s="261" t="str">
        <f>IFERROR(IF(_xlfn.XLOOKUP(B173, 'Asset Class Tables and Dropdown'!$A$3:$A$1001, 'Asset Class Tables and Dropdown'!$E$3:$E$1001)=0, "", _xlfn.XLOOKUP(B173, 'Asset Class Tables and Dropdown'!$A$3:$A$1001, 'Asset Class Tables and Dropdown'!$E$3:$E$1001)),"")</f>
        <v/>
      </c>
      <c r="I173" s="227">
        <f t="shared" si="16"/>
        <v>0</v>
      </c>
      <c r="K173" s="213" t="str">
        <f t="shared" si="18"/>
        <v/>
      </c>
    </row>
    <row r="174" spans="2:11" ht="26" hidden="1" customHeight="1">
      <c r="B174" s="270"/>
      <c r="C174" s="274" t="str">
        <f>IFERROR(IF(_xlfn.XLOOKUP(B174, Table33[Investment Name], Table33[Override Investment Amount]) = 0, IF(_xlfn.XLOOKUP('Investment Proposal'!B174, Table33[Investment Name], Table33[Sum]) = 0, "", _xlfn.XLOOKUP('Investment Proposal'!B174, Table33[Investment Name], Table33[Sum])), _xlfn.XLOOKUP('Investment Proposal'!B174, Table33[Investment Name], Table33[Override Investment Amount])), "")</f>
        <v/>
      </c>
      <c r="D174" s="275">
        <f>IFERROR(_xlfn.XLOOKUP(B174, 'Asset Class Tables and Dropdown'!$A$3:$A$1001, 'Asset Class Tables and Dropdown'!$C$3:$C$1001),"")</f>
        <v>0</v>
      </c>
      <c r="E174" s="276" t="str">
        <f t="shared" si="17"/>
        <v/>
      </c>
      <c r="F174" s="276"/>
      <c r="G174" s="261" t="str">
        <f>IFERROR(IF(_xlfn.XLOOKUP(B174, 'Asset Class Tables and Dropdown'!$A$3:$A$1001, 'Asset Class Tables and Dropdown'!$D$3:$D$1001)=0, "", _xlfn.XLOOKUP(B174, 'Asset Class Tables and Dropdown'!$A$3:$A$1001, 'Asset Class Tables and Dropdown'!$D$3:$D$1001)), "")</f>
        <v/>
      </c>
      <c r="H174" s="261" t="str">
        <f>IFERROR(IF(_xlfn.XLOOKUP(B174, 'Asset Class Tables and Dropdown'!$A$3:$A$1001, 'Asset Class Tables and Dropdown'!$E$3:$E$1001)=0, "", _xlfn.XLOOKUP(B174, 'Asset Class Tables and Dropdown'!$A$3:$A$1001, 'Asset Class Tables and Dropdown'!$E$3:$E$1001)),"")</f>
        <v/>
      </c>
      <c r="I174" s="227">
        <f t="shared" si="16"/>
        <v>0</v>
      </c>
      <c r="K174" s="213" t="str">
        <f t="shared" si="18"/>
        <v/>
      </c>
    </row>
    <row r="175" spans="2:11" ht="26" customHeight="1">
      <c r="B175" s="277" t="s">
        <v>40</v>
      </c>
      <c r="C175" s="278">
        <f>SUM(C121:C174)</f>
        <v>0</v>
      </c>
      <c r="D175" s="278"/>
      <c r="E175" s="278">
        <f>SUM(E121:E174)</f>
        <v>0</v>
      </c>
      <c r="F175" s="279"/>
      <c r="G175" s="263"/>
      <c r="H175" s="263"/>
      <c r="I175" s="226">
        <f>IF(SUM(I121:I174) = 0, 0, 1)</f>
        <v>0</v>
      </c>
      <c r="K175" s="213" t="str">
        <f t="shared" si="18"/>
        <v/>
      </c>
    </row>
    <row r="176" spans="2:11" ht="26" customHeight="1">
      <c r="B176" s="270"/>
      <c r="C176" s="274"/>
      <c r="D176" s="275"/>
      <c r="E176" s="276" t="str">
        <f>IFERROR(IF(C176*D176&gt;0,C176*D176,""),"")</f>
        <v/>
      </c>
      <c r="F176" s="276"/>
      <c r="G176" s="261"/>
      <c r="H176" s="261"/>
      <c r="I176" s="226">
        <f>IF(SUM(I121:I174) = 0, 0, 1)</f>
        <v>0</v>
      </c>
      <c r="K176" s="213" t="str">
        <f t="shared" si="18"/>
        <v/>
      </c>
    </row>
    <row r="177" spans="2:21" ht="26" hidden="1" customHeight="1">
      <c r="B177" s="271" t="s">
        <v>47</v>
      </c>
      <c r="C177" s="274"/>
      <c r="D177" s="275"/>
      <c r="E177" s="276" t="str">
        <f>IFERROR(IF(C177*D177&gt;0,C177*D177,""),"")</f>
        <v/>
      </c>
      <c r="F177" s="276"/>
      <c r="G177" s="261"/>
      <c r="H177" s="261"/>
      <c r="I177" s="226">
        <f>IF(SUM(I178:I188) = 0, 0, 1)</f>
        <v>0</v>
      </c>
      <c r="K177" s="213" t="str">
        <f t="shared" si="18"/>
        <v>OTHER</v>
      </c>
    </row>
    <row r="178" spans="2:21" ht="26" hidden="1" customHeight="1">
      <c r="B178" s="270" t="s">
        <v>728</v>
      </c>
      <c r="C178" s="274" t="str">
        <f>IFERROR(IF(_xlfn.XLOOKUP(B178, Table33[Investment Name], Table33[Override Investment Amount]) = 0, IF(_xlfn.XLOOKUP('Investment Proposal'!B178, Table33[Investment Name], Table33[Sum]) = 0, "", _xlfn.XLOOKUP('Investment Proposal'!B178, Table33[Investment Name], Table33[Sum])), _xlfn.XLOOKUP('Investment Proposal'!B178, Table33[Investment Name], Table33[Override Investment Amount])), "")</f>
        <v/>
      </c>
      <c r="D178" s="275" t="str">
        <f>IFERROR(_xlfn.XLOOKUP(B178, 'Asset Class Tables and Dropdown'!$A$3:$A$1001, 'Asset Class Tables and Dropdown'!$C$3:$C$1001),"")</f>
        <v/>
      </c>
      <c r="E178" s="276" t="str">
        <f>IFERROR(IF(C178*D178&gt;0,C178*D178,""),"")</f>
        <v/>
      </c>
      <c r="F178" s="276"/>
      <c r="G178" s="261" t="str">
        <f>IFERROR(IF(_xlfn.XLOOKUP(B178, 'Asset Class Tables and Dropdown'!$A$3:$A$1001, 'Asset Class Tables and Dropdown'!$D$3:$D$1001)=0, "", _xlfn.XLOOKUP(B178, 'Asset Class Tables and Dropdown'!$A$3:$A$1001, 'Asset Class Tables and Dropdown'!$D$3:$D$1001)), "")</f>
        <v/>
      </c>
      <c r="H178" s="261" t="str">
        <f>IFERROR(IF(_xlfn.XLOOKUP(B178, 'Asset Class Tables and Dropdown'!$A$3:$A$1001, 'Asset Class Tables and Dropdown'!$E$3:$E$1001)=0, "", _xlfn.XLOOKUP(B178, 'Asset Class Tables and Dropdown'!$A$3:$A$1001, 'Asset Class Tables and Dropdown'!$E$3:$E$1001)),"")</f>
        <v/>
      </c>
      <c r="I178" s="227">
        <f t="shared" ref="I178:I188" si="19">IF(C178="", 0, 1)</f>
        <v>0</v>
      </c>
      <c r="K178" s="213" t="str">
        <f t="shared" si="18"/>
        <v>PJLXX - Money Market Fund</v>
      </c>
    </row>
    <row r="179" spans="2:21" ht="26" hidden="1" customHeight="1">
      <c r="B179" s="270"/>
      <c r="C179" s="274" t="str">
        <f>IFERROR(IF(_xlfn.XLOOKUP(B179, Table33[Investment Name], Table33[Override Investment Amount]) = 0, IF(_xlfn.XLOOKUP('Investment Proposal'!B179, Table33[Investment Name], Table33[Sum]) = 0, "", _xlfn.XLOOKUP('Investment Proposal'!B179, Table33[Investment Name], Table33[Sum])), _xlfn.XLOOKUP('Investment Proposal'!B179, Table33[Investment Name], Table33[Override Investment Amount])), "")</f>
        <v/>
      </c>
      <c r="D179" s="275">
        <f>IFERROR(_xlfn.XLOOKUP(B179, 'Asset Class Tables and Dropdown'!$A$3:$A$1001, 'Asset Class Tables and Dropdown'!$C$3:$C$1001),"")</f>
        <v>0</v>
      </c>
      <c r="E179" s="276" t="str">
        <f t="shared" ref="E179:E188" si="20">IFERROR(IF(C179*D179&gt;0,C179*D179,""),"")</f>
        <v/>
      </c>
      <c r="F179" s="276"/>
      <c r="G179" s="261" t="str">
        <f>IFERROR(IF(_xlfn.XLOOKUP(B179, 'Asset Class Tables and Dropdown'!$A$3:$A$1001, 'Asset Class Tables and Dropdown'!$D$3:$D$1001)=0, "", _xlfn.XLOOKUP(B179, 'Asset Class Tables and Dropdown'!$A$3:$A$1001, 'Asset Class Tables and Dropdown'!$D$3:$D$1001)), "")</f>
        <v/>
      </c>
      <c r="H179" s="261" t="str">
        <f>IFERROR(IF(_xlfn.XLOOKUP(B179, 'Asset Class Tables and Dropdown'!$A$3:$A$1001, 'Asset Class Tables and Dropdown'!$E$3:$E$1001)=0, "", _xlfn.XLOOKUP(B179, 'Asset Class Tables and Dropdown'!$A$3:$A$1001, 'Asset Class Tables and Dropdown'!$E$3:$E$1001)),"")</f>
        <v/>
      </c>
      <c r="I179" s="227">
        <f t="shared" si="19"/>
        <v>0</v>
      </c>
      <c r="K179" s="213" t="str">
        <f t="shared" si="18"/>
        <v/>
      </c>
    </row>
    <row r="180" spans="2:21" ht="26" hidden="1" customHeight="1">
      <c r="B180" s="270"/>
      <c r="C180" s="274" t="str">
        <f>IFERROR(IF(_xlfn.XLOOKUP(B180, Table33[Investment Name], Table33[Override Investment Amount]) = 0, IF(_xlfn.XLOOKUP('Investment Proposal'!B180, Table33[Investment Name], Table33[Sum]) = 0, "", _xlfn.XLOOKUP('Investment Proposal'!B180, Table33[Investment Name], Table33[Sum])), _xlfn.XLOOKUP('Investment Proposal'!B180, Table33[Investment Name], Table33[Override Investment Amount])), "")</f>
        <v/>
      </c>
      <c r="D180" s="275">
        <f>IFERROR(_xlfn.XLOOKUP(B180, 'Asset Class Tables and Dropdown'!$A$3:$A$1001, 'Asset Class Tables and Dropdown'!$C$3:$C$1001),"")</f>
        <v>0</v>
      </c>
      <c r="E180" s="276" t="str">
        <f t="shared" si="20"/>
        <v/>
      </c>
      <c r="F180" s="276"/>
      <c r="G180" s="261" t="str">
        <f>IFERROR(IF(_xlfn.XLOOKUP(B180, 'Asset Class Tables and Dropdown'!$A$3:$A$1001, 'Asset Class Tables and Dropdown'!$D$3:$D$1001)=0, "", _xlfn.XLOOKUP(B180, 'Asset Class Tables and Dropdown'!$A$3:$A$1001, 'Asset Class Tables and Dropdown'!$D$3:$D$1001)), "")</f>
        <v/>
      </c>
      <c r="H180" s="261" t="str">
        <f>IFERROR(IF(_xlfn.XLOOKUP(B180, 'Asset Class Tables and Dropdown'!$A$3:$A$1001, 'Asset Class Tables and Dropdown'!$E$3:$E$1001)=0, "", _xlfn.XLOOKUP(B180, 'Asset Class Tables and Dropdown'!$A$3:$A$1001, 'Asset Class Tables and Dropdown'!$E$3:$E$1001)),"")</f>
        <v/>
      </c>
      <c r="I180" s="227">
        <f t="shared" si="19"/>
        <v>0</v>
      </c>
      <c r="K180" s="213" t="str">
        <f t="shared" si="18"/>
        <v/>
      </c>
    </row>
    <row r="181" spans="2:21" ht="26" hidden="1" customHeight="1">
      <c r="B181" s="270"/>
      <c r="C181" s="274" t="str">
        <f>IFERROR(IF(_xlfn.XLOOKUP(B181, Table33[Investment Name], Table33[Override Investment Amount]) = 0, IF(_xlfn.XLOOKUP('Investment Proposal'!B181, Table33[Investment Name], Table33[Sum]) = 0, "", _xlfn.XLOOKUP('Investment Proposal'!B181, Table33[Investment Name], Table33[Sum])), _xlfn.XLOOKUP('Investment Proposal'!B181, Table33[Investment Name], Table33[Override Investment Amount])), "")</f>
        <v/>
      </c>
      <c r="D181" s="275">
        <f>IFERROR(_xlfn.XLOOKUP(B181, 'Asset Class Tables and Dropdown'!$A$3:$A$1001, 'Asset Class Tables and Dropdown'!$C$3:$C$1001),"")</f>
        <v>0</v>
      </c>
      <c r="E181" s="276" t="str">
        <f t="shared" si="20"/>
        <v/>
      </c>
      <c r="F181" s="276"/>
      <c r="G181" s="261" t="str">
        <f>IFERROR(IF(_xlfn.XLOOKUP(B181, 'Asset Class Tables and Dropdown'!$A$3:$A$1001, 'Asset Class Tables and Dropdown'!$D$3:$D$1001)=0, "", _xlfn.XLOOKUP(B181, 'Asset Class Tables and Dropdown'!$A$3:$A$1001, 'Asset Class Tables and Dropdown'!$D$3:$D$1001)), "")</f>
        <v/>
      </c>
      <c r="H181" s="261" t="str">
        <f>IFERROR(IF(_xlfn.XLOOKUP(B181, 'Asset Class Tables and Dropdown'!$A$3:$A$1001, 'Asset Class Tables and Dropdown'!$E$3:$E$1001)=0, "", _xlfn.XLOOKUP(B181, 'Asset Class Tables and Dropdown'!$A$3:$A$1001, 'Asset Class Tables and Dropdown'!$E$3:$E$1001)),"")</f>
        <v/>
      </c>
      <c r="I181" s="227">
        <f t="shared" si="19"/>
        <v>0</v>
      </c>
      <c r="K181" s="213" t="str">
        <f t="shared" si="18"/>
        <v/>
      </c>
    </row>
    <row r="182" spans="2:21" ht="26" hidden="1" customHeight="1">
      <c r="B182" s="270"/>
      <c r="C182" s="274" t="str">
        <f>IFERROR(IF(_xlfn.XLOOKUP(B182, Table33[Investment Name], Table33[Override Investment Amount]) = 0, IF(_xlfn.XLOOKUP('Investment Proposal'!B182, Table33[Investment Name], Table33[Sum]) = 0, "", _xlfn.XLOOKUP('Investment Proposal'!B182, Table33[Investment Name], Table33[Sum])), _xlfn.XLOOKUP('Investment Proposal'!B182, Table33[Investment Name], Table33[Override Investment Amount])), "")</f>
        <v/>
      </c>
      <c r="D182" s="275">
        <f>IFERROR(_xlfn.XLOOKUP(B182, 'Asset Class Tables and Dropdown'!$A$3:$A$1001, 'Asset Class Tables and Dropdown'!$C$3:$C$1001),"")</f>
        <v>0</v>
      </c>
      <c r="E182" s="276" t="str">
        <f t="shared" si="20"/>
        <v/>
      </c>
      <c r="F182" s="276"/>
      <c r="G182" s="261" t="str">
        <f>IFERROR(IF(_xlfn.XLOOKUP(B182, 'Asset Class Tables and Dropdown'!$A$3:$A$1001, 'Asset Class Tables and Dropdown'!$D$3:$D$1001)=0, "", _xlfn.XLOOKUP(B182, 'Asset Class Tables and Dropdown'!$A$3:$A$1001, 'Asset Class Tables and Dropdown'!$D$3:$D$1001)), "")</f>
        <v/>
      </c>
      <c r="H182" s="261" t="str">
        <f>IFERROR(IF(_xlfn.XLOOKUP(B182, 'Asset Class Tables and Dropdown'!$A$3:$A$1001, 'Asset Class Tables and Dropdown'!$E$3:$E$1001)=0, "", _xlfn.XLOOKUP(B182, 'Asset Class Tables and Dropdown'!$A$3:$A$1001, 'Asset Class Tables and Dropdown'!$E$3:$E$1001)),"")</f>
        <v/>
      </c>
      <c r="I182" s="227">
        <f t="shared" si="19"/>
        <v>0</v>
      </c>
      <c r="K182" s="213" t="str">
        <f t="shared" si="18"/>
        <v/>
      </c>
    </row>
    <row r="183" spans="2:21" ht="26" hidden="1" customHeight="1">
      <c r="B183" s="270"/>
      <c r="C183" s="274" t="str">
        <f>IFERROR(IF(_xlfn.XLOOKUP(B183, Table33[Investment Name], Table33[Override Investment Amount]) = 0, IF(_xlfn.XLOOKUP('Investment Proposal'!B183, Table33[Investment Name], Table33[Sum]) = 0, "", _xlfn.XLOOKUP('Investment Proposal'!B183, Table33[Investment Name], Table33[Sum])), _xlfn.XLOOKUP('Investment Proposal'!B183, Table33[Investment Name], Table33[Override Investment Amount])), "")</f>
        <v/>
      </c>
      <c r="D183" s="275">
        <f>IFERROR(_xlfn.XLOOKUP(B183, 'Asset Class Tables and Dropdown'!$A$3:$A$1001, 'Asset Class Tables and Dropdown'!$C$3:$C$1001),"")</f>
        <v>0</v>
      </c>
      <c r="E183" s="276" t="str">
        <f t="shared" si="20"/>
        <v/>
      </c>
      <c r="F183" s="276"/>
      <c r="G183" s="261" t="str">
        <f>IFERROR(IF(_xlfn.XLOOKUP(B183, 'Asset Class Tables and Dropdown'!$A$3:$A$1001, 'Asset Class Tables and Dropdown'!$D$3:$D$1001)=0, "", _xlfn.XLOOKUP(B183, 'Asset Class Tables and Dropdown'!$A$3:$A$1001, 'Asset Class Tables and Dropdown'!$D$3:$D$1001)), "")</f>
        <v/>
      </c>
      <c r="H183" s="261" t="str">
        <f>IFERROR(IF(_xlfn.XLOOKUP(B183, 'Asset Class Tables and Dropdown'!$A$3:$A$1001, 'Asset Class Tables and Dropdown'!$E$3:$E$1001)=0, "", _xlfn.XLOOKUP(B183, 'Asset Class Tables and Dropdown'!$A$3:$A$1001, 'Asset Class Tables and Dropdown'!$E$3:$E$1001)),"")</f>
        <v/>
      </c>
      <c r="I183" s="227">
        <f t="shared" si="19"/>
        <v>0</v>
      </c>
      <c r="K183" s="213" t="str">
        <f t="shared" si="18"/>
        <v/>
      </c>
    </row>
    <row r="184" spans="2:21" ht="26" hidden="1" customHeight="1">
      <c r="B184" s="270"/>
      <c r="C184" s="274" t="str">
        <f>IFERROR(IF(_xlfn.XLOOKUP(B184, Table33[Investment Name], Table33[Override Investment Amount]) = 0, IF(_xlfn.XLOOKUP('Investment Proposal'!B184, Table33[Investment Name], Table33[Sum]) = 0, "", _xlfn.XLOOKUP('Investment Proposal'!B184, Table33[Investment Name], Table33[Sum])), _xlfn.XLOOKUP('Investment Proposal'!B184, Table33[Investment Name], Table33[Override Investment Amount])), "")</f>
        <v/>
      </c>
      <c r="D184" s="275">
        <f>IFERROR(_xlfn.XLOOKUP(B184, 'Asset Class Tables and Dropdown'!$A$3:$A$1001, 'Asset Class Tables and Dropdown'!$C$3:$C$1001),"")</f>
        <v>0</v>
      </c>
      <c r="E184" s="276" t="str">
        <f t="shared" si="20"/>
        <v/>
      </c>
      <c r="F184" s="276"/>
      <c r="G184" s="261" t="str">
        <f>IFERROR(IF(_xlfn.XLOOKUP(B184, 'Asset Class Tables and Dropdown'!$A$3:$A$1001, 'Asset Class Tables and Dropdown'!$D$3:$D$1001)=0, "", _xlfn.XLOOKUP(B184, 'Asset Class Tables and Dropdown'!$A$3:$A$1001, 'Asset Class Tables and Dropdown'!$D$3:$D$1001)), "")</f>
        <v/>
      </c>
      <c r="H184" s="261" t="str">
        <f>IFERROR(IF(_xlfn.XLOOKUP(B184, 'Asset Class Tables and Dropdown'!$A$3:$A$1001, 'Asset Class Tables and Dropdown'!$E$3:$E$1001)=0, "", _xlfn.XLOOKUP(B184, 'Asset Class Tables and Dropdown'!$A$3:$A$1001, 'Asset Class Tables and Dropdown'!$E$3:$E$1001)),"")</f>
        <v/>
      </c>
      <c r="I184" s="227">
        <f t="shared" si="19"/>
        <v>0</v>
      </c>
      <c r="K184" s="213" t="str">
        <f t="shared" si="18"/>
        <v/>
      </c>
    </row>
    <row r="185" spans="2:21" ht="26" hidden="1" customHeight="1">
      <c r="B185" s="270"/>
      <c r="C185" s="274" t="str">
        <f>IFERROR(IF(_xlfn.XLOOKUP(B185, Table33[Investment Name], Table33[Override Investment Amount]) = 0, IF(_xlfn.XLOOKUP('Investment Proposal'!B185, Table33[Investment Name], Table33[Sum]) = 0, "", _xlfn.XLOOKUP('Investment Proposal'!B185, Table33[Investment Name], Table33[Sum])), _xlfn.XLOOKUP('Investment Proposal'!B185, Table33[Investment Name], Table33[Override Investment Amount])), "")</f>
        <v/>
      </c>
      <c r="D185" s="275">
        <f>IFERROR(_xlfn.XLOOKUP(B185, 'Asset Class Tables and Dropdown'!$A$3:$A$1001, 'Asset Class Tables and Dropdown'!$C$3:$C$1001),"")</f>
        <v>0</v>
      </c>
      <c r="E185" s="276" t="str">
        <f t="shared" si="20"/>
        <v/>
      </c>
      <c r="F185" s="276"/>
      <c r="G185" s="261" t="str">
        <f>IFERROR(IF(_xlfn.XLOOKUP(B185, 'Asset Class Tables and Dropdown'!$A$3:$A$1001, 'Asset Class Tables and Dropdown'!$D$3:$D$1001)=0, "", _xlfn.XLOOKUP(B185, 'Asset Class Tables and Dropdown'!$A$3:$A$1001, 'Asset Class Tables and Dropdown'!$D$3:$D$1001)), "")</f>
        <v/>
      </c>
      <c r="H185" s="261" t="str">
        <f>IFERROR(IF(_xlfn.XLOOKUP(B185, 'Asset Class Tables and Dropdown'!$A$3:$A$1001, 'Asset Class Tables and Dropdown'!$E$3:$E$1001)=0, "", _xlfn.XLOOKUP(B185, 'Asset Class Tables and Dropdown'!$A$3:$A$1001, 'Asset Class Tables and Dropdown'!$E$3:$E$1001)),"")</f>
        <v/>
      </c>
      <c r="I185" s="227">
        <f t="shared" si="19"/>
        <v>0</v>
      </c>
      <c r="K185" s="213" t="str">
        <f t="shared" si="18"/>
        <v/>
      </c>
    </row>
    <row r="186" spans="2:21" ht="26" hidden="1" customHeight="1">
      <c r="B186" s="270"/>
      <c r="C186" s="274" t="str">
        <f>IFERROR(IF(_xlfn.XLOOKUP(B186, Table33[Investment Name], Table33[Override Investment Amount]) = 0, IF(_xlfn.XLOOKUP('Investment Proposal'!B186, Table33[Investment Name], Table33[Sum]) = 0, "", _xlfn.XLOOKUP('Investment Proposal'!B186, Table33[Investment Name], Table33[Sum])), _xlfn.XLOOKUP('Investment Proposal'!B186, Table33[Investment Name], Table33[Override Investment Amount])), "")</f>
        <v/>
      </c>
      <c r="D186" s="275">
        <f>IFERROR(_xlfn.XLOOKUP(B186, 'Asset Class Tables and Dropdown'!$A$3:$A$1001, 'Asset Class Tables and Dropdown'!$C$3:$C$1001),"")</f>
        <v>0</v>
      </c>
      <c r="E186" s="276" t="str">
        <f t="shared" si="20"/>
        <v/>
      </c>
      <c r="F186" s="276"/>
      <c r="G186" s="261" t="str">
        <f>IFERROR(IF(_xlfn.XLOOKUP(B186, 'Asset Class Tables and Dropdown'!$A$3:$A$1001, 'Asset Class Tables and Dropdown'!$D$3:$D$1001)=0, "", _xlfn.XLOOKUP(B186, 'Asset Class Tables and Dropdown'!$A$3:$A$1001, 'Asset Class Tables and Dropdown'!$D$3:$D$1001)), "")</f>
        <v/>
      </c>
      <c r="H186" s="261" t="str">
        <f>IFERROR(IF(_xlfn.XLOOKUP(B186, 'Asset Class Tables and Dropdown'!$A$3:$A$1001, 'Asset Class Tables and Dropdown'!$E$3:$E$1001)=0, "", _xlfn.XLOOKUP(B186, 'Asset Class Tables and Dropdown'!$A$3:$A$1001, 'Asset Class Tables and Dropdown'!$E$3:$E$1001)),"")</f>
        <v/>
      </c>
      <c r="I186" s="227">
        <f t="shared" si="19"/>
        <v>0</v>
      </c>
      <c r="K186" s="213" t="str">
        <f t="shared" si="18"/>
        <v/>
      </c>
    </row>
    <row r="187" spans="2:21" ht="26" hidden="1" customHeight="1">
      <c r="B187" s="270"/>
      <c r="C187" s="274" t="str">
        <f>IFERROR(IF(_xlfn.XLOOKUP(B187, Table33[Investment Name], Table33[Override Investment Amount]) = 0, IF(_xlfn.XLOOKUP('Investment Proposal'!B187, Table33[Investment Name], Table33[Sum]) = 0, "", _xlfn.XLOOKUP('Investment Proposal'!B187, Table33[Investment Name], Table33[Sum])), _xlfn.XLOOKUP('Investment Proposal'!B187, Table33[Investment Name], Table33[Override Investment Amount])), "")</f>
        <v/>
      </c>
      <c r="D187" s="275">
        <f>IFERROR(_xlfn.XLOOKUP(B187, 'Asset Class Tables and Dropdown'!$A$3:$A$1001, 'Asset Class Tables and Dropdown'!$C$3:$C$1001),"")</f>
        <v>0</v>
      </c>
      <c r="E187" s="276" t="str">
        <f t="shared" si="20"/>
        <v/>
      </c>
      <c r="F187" s="276"/>
      <c r="G187" s="261" t="str">
        <f>IFERROR(IF(_xlfn.XLOOKUP(B187, 'Asset Class Tables and Dropdown'!$A$3:$A$1001, 'Asset Class Tables and Dropdown'!$D$3:$D$1001)=0, "", _xlfn.XLOOKUP(B187, 'Asset Class Tables and Dropdown'!$A$3:$A$1001, 'Asset Class Tables and Dropdown'!$D$3:$D$1001)), "")</f>
        <v/>
      </c>
      <c r="H187" s="261" t="str">
        <f>IFERROR(IF(_xlfn.XLOOKUP(B187, 'Asset Class Tables and Dropdown'!$A$3:$A$1001, 'Asset Class Tables and Dropdown'!$E$3:$E$1001)=0, "", _xlfn.XLOOKUP(B187, 'Asset Class Tables and Dropdown'!$A$3:$A$1001, 'Asset Class Tables and Dropdown'!$E$3:$E$1001)),"")</f>
        <v/>
      </c>
      <c r="I187" s="227">
        <f t="shared" si="19"/>
        <v>0</v>
      </c>
      <c r="K187" s="213" t="str">
        <f t="shared" si="18"/>
        <v/>
      </c>
    </row>
    <row r="188" spans="2:21" ht="26" hidden="1" customHeight="1">
      <c r="B188" s="270"/>
      <c r="C188" s="274" t="str">
        <f>IFERROR(IF(_xlfn.XLOOKUP(B188, Table33[Investment Name], Table33[Override Investment Amount]) = 0, IF(_xlfn.XLOOKUP('Investment Proposal'!B188, Table33[Investment Name], Table33[Sum]) = 0, "", _xlfn.XLOOKUP('Investment Proposal'!B188, Table33[Investment Name], Table33[Sum])), _xlfn.XLOOKUP('Investment Proposal'!B188, Table33[Investment Name], Table33[Override Investment Amount])), "")</f>
        <v/>
      </c>
      <c r="D188" s="275">
        <f>IFERROR(_xlfn.XLOOKUP(B188, 'Asset Class Tables and Dropdown'!$A$3:$A$1001, 'Asset Class Tables and Dropdown'!$C$3:$C$1001),"")</f>
        <v>0</v>
      </c>
      <c r="E188" s="276" t="str">
        <f t="shared" si="20"/>
        <v/>
      </c>
      <c r="F188" s="276"/>
      <c r="G188" s="261" t="str">
        <f>IFERROR(IF(_xlfn.XLOOKUP(B188, 'Asset Class Tables and Dropdown'!$A$3:$A$1001, 'Asset Class Tables and Dropdown'!$D$3:$D$1001)=0, "", _xlfn.XLOOKUP(B188, 'Asset Class Tables and Dropdown'!$A$3:$A$1001, 'Asset Class Tables and Dropdown'!$D$3:$D$1001)), "")</f>
        <v/>
      </c>
      <c r="H188" s="261" t="str">
        <f>IFERROR(IF(_xlfn.XLOOKUP(B188, 'Asset Class Tables and Dropdown'!$A$3:$A$1001, 'Asset Class Tables and Dropdown'!$E$3:$E$1001)=0, "", _xlfn.XLOOKUP(B188, 'Asset Class Tables and Dropdown'!$A$3:$A$1001, 'Asset Class Tables and Dropdown'!$E$3:$E$1001)),"")</f>
        <v/>
      </c>
      <c r="I188" s="227">
        <f t="shared" si="19"/>
        <v>0</v>
      </c>
      <c r="K188" s="213" t="str">
        <f t="shared" si="18"/>
        <v/>
      </c>
    </row>
    <row r="189" spans="2:21" ht="26" hidden="1" customHeight="1">
      <c r="B189" s="277" t="s">
        <v>40</v>
      </c>
      <c r="C189" s="278">
        <f>SUM(C178:C188)</f>
        <v>0</v>
      </c>
      <c r="D189" s="278"/>
      <c r="E189" s="278">
        <f>SUM(E178:E188)</f>
        <v>0</v>
      </c>
      <c r="F189" s="279"/>
      <c r="G189" s="263"/>
      <c r="H189" s="263"/>
      <c r="I189" s="226">
        <f>IF(SUM(I178:I188) = 0, 0, 1)</f>
        <v>0</v>
      </c>
      <c r="K189" s="213" t="str">
        <f t="shared" si="18"/>
        <v/>
      </c>
    </row>
    <row r="190" spans="2:21" ht="26" hidden="1" customHeight="1">
      <c r="B190" s="270"/>
      <c r="C190" s="274"/>
      <c r="D190" s="275"/>
      <c r="E190" s="276"/>
      <c r="F190" s="276"/>
      <c r="G190" s="261"/>
      <c r="H190" s="261"/>
      <c r="I190" s="226">
        <f>IF(SUM(I178:I188) = 0, 0, 1)</f>
        <v>0</v>
      </c>
      <c r="K190" s="213" t="str">
        <f t="shared" si="18"/>
        <v/>
      </c>
    </row>
    <row r="191" spans="2:21" ht="26" customHeight="1" thickBot="1">
      <c r="B191" s="280"/>
      <c r="C191" s="281"/>
      <c r="D191" s="282"/>
      <c r="E191" s="283"/>
      <c r="F191" s="283"/>
      <c r="G191" s="264"/>
      <c r="H191" s="264"/>
      <c r="I191" s="216">
        <v>1</v>
      </c>
      <c r="K191" s="228" t="str">
        <f t="shared" si="18"/>
        <v/>
      </c>
      <c r="L191" s="213"/>
      <c r="M191" s="225"/>
      <c r="N191" s="225"/>
      <c r="O191" s="225"/>
      <c r="P191" s="225"/>
      <c r="Q191" s="225"/>
      <c r="R191" s="225"/>
      <c r="S191" s="225"/>
      <c r="T191" s="225"/>
      <c r="U191" s="213"/>
    </row>
    <row r="192" spans="2:21" ht="26" customHeight="1" thickTop="1">
      <c r="B192" s="271" t="s">
        <v>48</v>
      </c>
      <c r="C192" s="284">
        <f>SUM(C38+C54+C69+C82+C104+C118+C175+C189)</f>
        <v>0</v>
      </c>
      <c r="D192" s="284"/>
      <c r="E192" s="284">
        <f>SUM(E38+E54+E69+E82+E104+E118+E175+E189)</f>
        <v>0</v>
      </c>
      <c r="F192" s="285"/>
      <c r="G192" s="265"/>
      <c r="H192" s="265"/>
      <c r="I192" s="216">
        <v>1</v>
      </c>
      <c r="K192" s="213"/>
      <c r="L192" s="230" t="s">
        <v>40</v>
      </c>
      <c r="M192" s="231">
        <f>SUM(M13:M191)</f>
        <v>0</v>
      </c>
      <c r="N192" s="231">
        <f>SUM(N13:N191)</f>
        <v>0</v>
      </c>
      <c r="O192" s="231">
        <f t="shared" ref="O192:U192" si="21">SUM(O13:O191)</f>
        <v>0</v>
      </c>
      <c r="P192" s="231">
        <f t="shared" si="21"/>
        <v>0</v>
      </c>
      <c r="Q192" s="231">
        <f t="shared" si="21"/>
        <v>0</v>
      </c>
      <c r="R192" s="231">
        <f t="shared" si="21"/>
        <v>0</v>
      </c>
      <c r="S192" s="231">
        <f t="shared" si="21"/>
        <v>0</v>
      </c>
      <c r="T192" s="231">
        <f t="shared" si="21"/>
        <v>0</v>
      </c>
      <c r="U192" s="231">
        <f t="shared" si="21"/>
        <v>0</v>
      </c>
    </row>
    <row r="193" spans="2:21" ht="26" customHeight="1">
      <c r="B193" s="270"/>
      <c r="C193" s="270"/>
      <c r="D193" s="270"/>
      <c r="E193" s="270"/>
      <c r="F193" s="270"/>
      <c r="G193" s="261"/>
      <c r="H193" s="261"/>
      <c r="I193" s="216">
        <v>1</v>
      </c>
      <c r="K193" s="213"/>
      <c r="L193" s="213"/>
      <c r="M193" s="213"/>
      <c r="N193" s="213"/>
      <c r="O193" s="213"/>
      <c r="P193" s="213"/>
      <c r="Q193" s="213"/>
      <c r="R193" s="213"/>
      <c r="S193" s="213"/>
      <c r="T193" s="213"/>
      <c r="U193" s="213"/>
    </row>
    <row r="194" spans="2:21" ht="26" customHeight="1">
      <c r="B194" s="359" t="s">
        <v>49</v>
      </c>
      <c r="C194" s="359"/>
      <c r="D194" s="359"/>
      <c r="E194" s="359"/>
      <c r="F194" s="359"/>
      <c r="G194" s="261"/>
      <c r="H194" s="261"/>
      <c r="I194" s="216">
        <v>1</v>
      </c>
      <c r="K194" s="213"/>
      <c r="L194" s="224" t="s">
        <v>50</v>
      </c>
      <c r="M194" s="213"/>
      <c r="N194" s="229">
        <f>SUM(M192:S192)</f>
        <v>0</v>
      </c>
      <c r="O194" s="213"/>
      <c r="P194" s="213"/>
      <c r="Q194" s="213"/>
      <c r="R194" s="213"/>
      <c r="S194" s="213"/>
      <c r="T194" s="213"/>
      <c r="U194" s="213"/>
    </row>
    <row r="195" spans="2:21" ht="26" customHeight="1">
      <c r="B195" s="270"/>
      <c r="C195" s="270"/>
      <c r="D195" s="270"/>
      <c r="E195" s="270"/>
      <c r="F195" s="270"/>
      <c r="G195" s="261"/>
      <c r="H195" s="261"/>
      <c r="I195" s="216">
        <v>1</v>
      </c>
      <c r="K195" s="213"/>
      <c r="L195" s="213"/>
      <c r="M195" s="213"/>
      <c r="N195" s="213"/>
      <c r="O195" s="213"/>
      <c r="P195" s="213"/>
      <c r="Q195" s="213"/>
      <c r="R195" s="213"/>
      <c r="S195" s="213"/>
      <c r="T195" s="213"/>
      <c r="U195" s="213"/>
    </row>
    <row r="196" spans="2:21" ht="26" customHeight="1">
      <c r="B196" s="270"/>
      <c r="C196" s="270"/>
      <c r="D196" s="270"/>
      <c r="E196" s="270"/>
      <c r="F196" s="270"/>
      <c r="G196" s="261"/>
      <c r="H196" s="261"/>
      <c r="I196" s="216">
        <v>1</v>
      </c>
    </row>
    <row r="197" spans="2:21" ht="26" customHeight="1">
      <c r="B197" s="354" t="s">
        <v>130</v>
      </c>
      <c r="C197" s="354"/>
      <c r="D197" s="354"/>
      <c r="E197" s="354"/>
      <c r="F197" s="354"/>
      <c r="G197" s="354"/>
      <c r="H197" s="354"/>
      <c r="I197" s="216">
        <v>1</v>
      </c>
    </row>
    <row r="198" spans="2:21" ht="26" customHeight="1">
      <c r="B198" s="358" t="str">
        <f>'Investment Proposal Inputs'!C15</f>
        <v/>
      </c>
      <c r="C198" s="354"/>
      <c r="D198" s="354"/>
      <c r="E198" s="354"/>
      <c r="F198" s="354"/>
      <c r="G198" s="354"/>
      <c r="H198" s="354"/>
      <c r="I198" s="216">
        <v>1</v>
      </c>
    </row>
    <row r="199" spans="2:21" ht="26" customHeight="1">
      <c r="B199" s="270"/>
      <c r="C199" s="270"/>
      <c r="D199" s="270"/>
      <c r="E199" s="270"/>
      <c r="F199" s="270"/>
      <c r="G199" s="261"/>
      <c r="H199" s="261"/>
      <c r="I199" s="216">
        <v>1</v>
      </c>
    </row>
    <row r="200" spans="2:21" ht="26" customHeight="1">
      <c r="B200" s="354" t="s">
        <v>53</v>
      </c>
      <c r="C200" s="354"/>
      <c r="D200" s="354"/>
      <c r="E200" s="354"/>
      <c r="F200" s="354"/>
      <c r="G200" s="354"/>
      <c r="H200" s="354"/>
      <c r="I200" s="216">
        <v>1</v>
      </c>
    </row>
    <row r="201" spans="2:21" ht="26" customHeight="1">
      <c r="B201" s="354" t="s">
        <v>54</v>
      </c>
      <c r="C201" s="354"/>
      <c r="D201" s="354"/>
      <c r="E201" s="354"/>
      <c r="F201" s="354"/>
      <c r="G201" s="354"/>
      <c r="H201" s="354"/>
      <c r="I201" s="216">
        <v>1</v>
      </c>
    </row>
    <row r="202" spans="2:21" hidden="1"/>
    <row r="203" spans="2:21" hidden="1"/>
    <row r="204" spans="2:21" hidden="1"/>
    <row r="205" spans="2:21" hidden="1"/>
    <row r="206" spans="2:21" hidden="1"/>
    <row r="207" spans="2:21" hidden="1"/>
    <row r="208" spans="2:21"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sheetData>
  <protectedRanges>
    <protectedRange sqref="B111:B114 B49:B53 B63:B68 B186:B188 C16:C29 B157:B174 B30:C37 B28:B29 B76:B81 C41:C53 C56:C68 C72:C81 B85:C103 C107:C117 C121:C174 C178:C188" name="Investments and Amounts"/>
    <protectedRange sqref="B9:H11" name="Titles"/>
    <protectedRange sqref="L191:R194 L11:R111" name="Implementation"/>
  </protectedRanges>
  <mergeCells count="8">
    <mergeCell ref="B201:H201"/>
    <mergeCell ref="B9:H9"/>
    <mergeCell ref="B10:H10"/>
    <mergeCell ref="B11:H11"/>
    <mergeCell ref="B197:H197"/>
    <mergeCell ref="B198:H198"/>
    <mergeCell ref="B200:H200"/>
    <mergeCell ref="B194:F194"/>
  </mergeCells>
  <conditionalFormatting sqref="D14:D192">
    <cfRule type="expression" dxfId="143" priority="1">
      <formula>$D14=0</formula>
    </cfRule>
  </conditionalFormatting>
  <printOptions horizontalCentered="1"/>
  <pageMargins left="0.5" right="0.5" top="1.5" bottom="0.3" header="0.3" footer="0"/>
  <pageSetup scale="43" orientation="portrait" horizontalDpi="0" verticalDpi="0"/>
  <headerFooter>
    <oddHeader>&amp;C&amp;"System Font,Regular"&amp;10&amp;K000000&amp;G</oddHeader>
  </headerFooter>
  <drawing r:id="rId1"/>
  <legacyDrawing r:id="rId2"/>
  <legacyDrawingHF r:id="rId3"/>
  <mc:AlternateContent xmlns:mc="http://schemas.openxmlformats.org/markup-compatibility/2006">
    <mc:Choice Requires="x14">
      <controls>
        <mc:AlternateContent xmlns:mc="http://schemas.openxmlformats.org/markup-compatibility/2006">
          <mc:Choice Requires="x14">
            <control shapeId="13330" r:id="rId4" name="Button 18">
              <controlPr defaultSize="0" print="0" autoFill="0" autoPict="0" macro="[0]!Sheet11.HideBlankRows">
                <anchor moveWithCells="1" sizeWithCells="1">
                  <from>
                    <xdr:col>1</xdr:col>
                    <xdr:colOff>266700</xdr:colOff>
                    <xdr:row>2</xdr:row>
                    <xdr:rowOff>127000</xdr:rowOff>
                  </from>
                  <to>
                    <xdr:col>1</xdr:col>
                    <xdr:colOff>1790700</xdr:colOff>
                    <xdr:row>4</xdr:row>
                    <xdr:rowOff>114300</xdr:rowOff>
                  </to>
                </anchor>
              </controlPr>
            </control>
          </mc:Choice>
        </mc:AlternateContent>
        <mc:AlternateContent xmlns:mc="http://schemas.openxmlformats.org/markup-compatibility/2006">
          <mc:Choice Requires="x14">
            <control shapeId="13331" r:id="rId5" name="Button 19">
              <controlPr defaultSize="0" print="0" autoFill="0" autoPict="0" macro="[0]!Sheet11.UnhideAllRows">
                <anchor moveWithCells="1" sizeWithCells="1">
                  <from>
                    <xdr:col>1</xdr:col>
                    <xdr:colOff>1905000</xdr:colOff>
                    <xdr:row>2</xdr:row>
                    <xdr:rowOff>127000</xdr:rowOff>
                  </from>
                  <to>
                    <xdr:col>1</xdr:col>
                    <xdr:colOff>3429000</xdr:colOff>
                    <xdr:row>4</xdr:row>
                    <xdr:rowOff>114300</xdr:rowOff>
                  </to>
                </anchor>
              </controlPr>
            </control>
          </mc:Choice>
        </mc:AlternateContent>
        <mc:AlternateContent xmlns:mc="http://schemas.openxmlformats.org/markup-compatibility/2006">
          <mc:Choice Requires="x14">
            <control shapeId="13338" r:id="rId6" name="Button 26">
              <controlPr defaultSize="0" print="0" autoFill="0" autoPict="0" macro="[0]!Sheet11.ResizeColumns">
                <anchor moveWithCells="1" sizeWithCells="1">
                  <from>
                    <xdr:col>1</xdr:col>
                    <xdr:colOff>3530600</xdr:colOff>
                    <xdr:row>2</xdr:row>
                    <xdr:rowOff>127000</xdr:rowOff>
                  </from>
                  <to>
                    <xdr:col>2</xdr:col>
                    <xdr:colOff>1066800</xdr:colOff>
                    <xdr:row>4</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E77872C7-DCDF-C74F-9814-8127D2FFA8AF}">
          <x14:formula1>
            <xm:f>'Asset Class Tables and Dropdown'!$A$66:$A$82</xm:f>
          </x14:formula1>
          <xm:sqref>B85:B103</xm:sqref>
        </x14:dataValidation>
        <x14:dataValidation type="list" allowBlank="1" showInputMessage="1" showErrorMessage="1" xr:uid="{33831EDA-1B16-394B-8490-AD0248CE2D60}">
          <x14:formula1>
            <xm:f>'Asset Class Tables and Dropdown'!$A$3:$A$21</xm:f>
          </x14:formula1>
          <xm:sqref>B16:B37</xm:sqref>
        </x14:dataValidation>
        <x14:dataValidation type="list" allowBlank="1" showInputMessage="1" showErrorMessage="1" xr:uid="{A3307E70-3E93-9042-91C1-3A48D1135E4C}">
          <x14:formula1>
            <xm:f>'Asset Class Tables and Dropdown'!$A$25:$A$37</xm:f>
          </x14:formula1>
          <xm:sqref>B41:B53</xm:sqref>
        </x14:dataValidation>
        <x14:dataValidation type="list" allowBlank="1" showInputMessage="1" showErrorMessage="1" xr:uid="{497EA3A3-CD36-8841-8C39-0BA6B880CA41}">
          <x14:formula1>
            <xm:f>'Asset Class Tables and Dropdown'!$A$54:$A$63</xm:f>
          </x14:formula1>
          <xm:sqref>B72:B81</xm:sqref>
        </x14:dataValidation>
        <x14:dataValidation type="list" allowBlank="1" showInputMessage="1" showErrorMessage="1" xr:uid="{DDBA93D5-E71B-B146-AC32-B6B30E63C887}">
          <x14:formula1>
            <xm:f>'Asset Class Tables and Dropdown'!$A$87:$A$95</xm:f>
          </x14:formula1>
          <xm:sqref>B107:B117</xm:sqref>
        </x14:dataValidation>
        <x14:dataValidation type="list" allowBlank="1" showInputMessage="1" showErrorMessage="1" xr:uid="{BC838AEB-32D3-314F-921E-96171076FF23}">
          <x14:formula1>
            <xm:f>'Asset Class Tables and Dropdown'!$A$40:$A$50</xm:f>
          </x14:formula1>
          <xm:sqref>B57:B68</xm:sqref>
        </x14:dataValidation>
        <x14:dataValidation type="list" allowBlank="1" showInputMessage="1" showErrorMessage="1" xr:uid="{96F6869A-98E9-9F4A-8353-B879967AEE91}">
          <x14:formula1>
            <xm:f>'Asset Class Tables and Dropdown'!$A$100:$A$143</xm:f>
          </x14:formula1>
          <xm:sqref>B121:B174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FA6EB-CE09-4F4A-ACB8-79D8B228390C}">
  <sheetPr codeName="Sheet12"/>
  <dimension ref="A1:B4"/>
  <sheetViews>
    <sheetView workbookViewId="0">
      <selection activeCell="B10" sqref="B10"/>
    </sheetView>
  </sheetViews>
  <sheetFormatPr baseColWidth="10" defaultColWidth="11.5" defaultRowHeight="15"/>
  <cols>
    <col min="1" max="1" width="40.5" bestFit="1" customWidth="1"/>
    <col min="2" max="2" width="12.33203125" bestFit="1" customWidth="1"/>
  </cols>
  <sheetData>
    <row r="1" spans="1:2" ht="24">
      <c r="A1" s="193" t="s">
        <v>131</v>
      </c>
      <c r="B1" s="193" t="s">
        <v>132</v>
      </c>
    </row>
    <row r="2" spans="1:2" ht="16">
      <c r="A2" s="208" t="s">
        <v>133</v>
      </c>
      <c r="B2" t="s">
        <v>134</v>
      </c>
    </row>
    <row r="3" spans="1:2" ht="16">
      <c r="A3" s="293" t="s">
        <v>133</v>
      </c>
      <c r="B3" t="s">
        <v>135</v>
      </c>
    </row>
    <row r="4" spans="1:2" ht="16">
      <c r="A4" s="187" t="s">
        <v>133</v>
      </c>
      <c r="B4" t="s">
        <v>136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50CF5-F954-714D-9448-3923722C72C4}">
  <sheetPr codeName="Sheet16">
    <tabColor theme="3"/>
  </sheetPr>
  <dimension ref="A1:C45"/>
  <sheetViews>
    <sheetView showGridLines="0" workbookViewId="0">
      <selection activeCell="A21" sqref="A21"/>
    </sheetView>
  </sheetViews>
  <sheetFormatPr baseColWidth="10" defaultRowHeight="15"/>
  <cols>
    <col min="1" max="1" width="24.6640625" bestFit="1" customWidth="1"/>
    <col min="2" max="2" width="8" bestFit="1" customWidth="1"/>
    <col min="3" max="3" width="66.83203125" bestFit="1" customWidth="1"/>
  </cols>
  <sheetData>
    <row r="1" spans="1:3" ht="29">
      <c r="A1" s="185" t="s">
        <v>677</v>
      </c>
    </row>
    <row r="3" spans="1:3" ht="29">
      <c r="A3" s="185" t="s">
        <v>678</v>
      </c>
      <c r="B3" s="184">
        <f>COUNTIF(B6:B45, TRUE)</f>
        <v>0</v>
      </c>
    </row>
    <row r="5" spans="1:3" ht="21">
      <c r="A5" s="313" t="s">
        <v>720</v>
      </c>
      <c r="B5" s="313" t="s">
        <v>721</v>
      </c>
      <c r="C5" s="313" t="s">
        <v>719</v>
      </c>
    </row>
    <row r="6" spans="1:3" ht="16">
      <c r="A6" s="312" t="s">
        <v>679</v>
      </c>
      <c r="B6" s="314" t="str">
        <f>IF('Investment Proposal Inputs'!B39 &lt; 0, "TRUE", "FALSE")</f>
        <v>FALSE</v>
      </c>
      <c r="C6" s="312" t="str" cm="1">
        <f t="array" aca="1" ref="C6" ca="1">CELL("address", 'Investment Proposal Inputs'!B39)</f>
        <v>'[Investment Proposal Template.xlsm]Investment Proposal Inputs'!$B$39</v>
      </c>
    </row>
    <row r="7" spans="1:3" ht="16">
      <c r="A7" s="312" t="s">
        <v>680</v>
      </c>
      <c r="B7" s="314"/>
      <c r="C7" s="312"/>
    </row>
    <row r="8" spans="1:3" ht="16">
      <c r="A8" s="312" t="s">
        <v>681</v>
      </c>
      <c r="B8" s="314"/>
      <c r="C8" s="312"/>
    </row>
    <row r="9" spans="1:3" ht="16">
      <c r="A9" s="312" t="s">
        <v>682</v>
      </c>
      <c r="B9" s="314"/>
      <c r="C9" s="312"/>
    </row>
    <row r="10" spans="1:3" ht="16">
      <c r="A10" s="312" t="s">
        <v>683</v>
      </c>
      <c r="B10" s="314"/>
      <c r="C10" s="312"/>
    </row>
    <row r="11" spans="1:3" ht="16">
      <c r="A11" s="312" t="s">
        <v>684</v>
      </c>
      <c r="B11" s="314"/>
      <c r="C11" s="312"/>
    </row>
    <row r="12" spans="1:3" ht="16">
      <c r="A12" s="312" t="s">
        <v>685</v>
      </c>
      <c r="B12" s="314"/>
      <c r="C12" s="312"/>
    </row>
    <row r="13" spans="1:3" ht="16">
      <c r="A13" s="312" t="s">
        <v>686</v>
      </c>
      <c r="B13" s="314"/>
      <c r="C13" s="312"/>
    </row>
    <row r="14" spans="1:3" ht="16">
      <c r="A14" s="312" t="s">
        <v>687</v>
      </c>
      <c r="B14" s="314"/>
      <c r="C14" s="312"/>
    </row>
    <row r="15" spans="1:3" ht="16">
      <c r="A15" s="312" t="s">
        <v>688</v>
      </c>
      <c r="B15" s="314"/>
      <c r="C15" s="312"/>
    </row>
    <row r="16" spans="1:3" ht="16">
      <c r="A16" s="312" t="s">
        <v>689</v>
      </c>
      <c r="B16" s="314"/>
      <c r="C16" s="312"/>
    </row>
    <row r="17" spans="1:3" ht="16">
      <c r="A17" s="312" t="s">
        <v>690</v>
      </c>
      <c r="B17" s="314"/>
      <c r="C17" s="312"/>
    </row>
    <row r="18" spans="1:3" ht="16">
      <c r="A18" s="312" t="s">
        <v>691</v>
      </c>
      <c r="B18" s="314"/>
      <c r="C18" s="312"/>
    </row>
    <row r="19" spans="1:3" ht="16">
      <c r="A19" s="312" t="s">
        <v>692</v>
      </c>
      <c r="B19" s="314"/>
      <c r="C19" s="312"/>
    </row>
    <row r="20" spans="1:3" ht="16">
      <c r="A20" s="312" t="s">
        <v>693</v>
      </c>
      <c r="B20" s="314"/>
      <c r="C20" s="312"/>
    </row>
    <row r="21" spans="1:3" ht="16">
      <c r="A21" s="312" t="s">
        <v>694</v>
      </c>
      <c r="B21" s="314"/>
      <c r="C21" s="312"/>
    </row>
    <row r="22" spans="1:3" ht="16">
      <c r="A22" s="312" t="s">
        <v>695</v>
      </c>
      <c r="B22" s="314"/>
      <c r="C22" s="312"/>
    </row>
    <row r="23" spans="1:3" ht="16">
      <c r="A23" s="312" t="s">
        <v>696</v>
      </c>
      <c r="B23" s="314"/>
      <c r="C23" s="312"/>
    </row>
    <row r="24" spans="1:3" ht="16">
      <c r="A24" s="312" t="s">
        <v>697</v>
      </c>
      <c r="B24" s="314"/>
      <c r="C24" s="312"/>
    </row>
    <row r="25" spans="1:3" ht="16">
      <c r="A25" s="312" t="s">
        <v>698</v>
      </c>
      <c r="B25" s="314"/>
      <c r="C25" s="312"/>
    </row>
    <row r="26" spans="1:3" ht="16">
      <c r="A26" s="312" t="s">
        <v>699</v>
      </c>
      <c r="B26" s="314"/>
      <c r="C26" s="312"/>
    </row>
    <row r="27" spans="1:3" ht="16">
      <c r="A27" s="312" t="s">
        <v>700</v>
      </c>
      <c r="B27" s="314"/>
      <c r="C27" s="312"/>
    </row>
    <row r="28" spans="1:3" ht="16">
      <c r="A28" s="312" t="s">
        <v>701</v>
      </c>
      <c r="B28" s="314"/>
      <c r="C28" s="312"/>
    </row>
    <row r="29" spans="1:3" ht="16">
      <c r="A29" s="312" t="s">
        <v>702</v>
      </c>
      <c r="B29" s="314"/>
      <c r="C29" s="312"/>
    </row>
    <row r="30" spans="1:3" ht="16">
      <c r="A30" s="312" t="s">
        <v>703</v>
      </c>
      <c r="B30" s="314"/>
      <c r="C30" s="312"/>
    </row>
    <row r="31" spans="1:3" ht="16">
      <c r="A31" s="312" t="s">
        <v>704</v>
      </c>
      <c r="B31" s="314"/>
      <c r="C31" s="312"/>
    </row>
    <row r="32" spans="1:3" ht="16">
      <c r="A32" s="312" t="s">
        <v>705</v>
      </c>
      <c r="B32" s="314"/>
      <c r="C32" s="312"/>
    </row>
    <row r="33" spans="1:3" ht="16">
      <c r="A33" s="312" t="s">
        <v>706</v>
      </c>
      <c r="B33" s="314"/>
      <c r="C33" s="312"/>
    </row>
    <row r="34" spans="1:3" ht="16">
      <c r="A34" s="312" t="s">
        <v>707</v>
      </c>
      <c r="B34" s="314"/>
      <c r="C34" s="312"/>
    </row>
    <row r="35" spans="1:3" ht="16">
      <c r="A35" s="312" t="s">
        <v>708</v>
      </c>
      <c r="B35" s="314"/>
      <c r="C35" s="312"/>
    </row>
    <row r="36" spans="1:3" ht="16">
      <c r="A36" s="312" t="s">
        <v>709</v>
      </c>
      <c r="B36" s="314"/>
      <c r="C36" s="312"/>
    </row>
    <row r="37" spans="1:3" ht="16">
      <c r="A37" s="312" t="s">
        <v>710</v>
      </c>
      <c r="B37" s="314"/>
      <c r="C37" s="312"/>
    </row>
    <row r="38" spans="1:3" ht="16">
      <c r="A38" s="312" t="s">
        <v>711</v>
      </c>
      <c r="B38" s="314"/>
      <c r="C38" s="312"/>
    </row>
    <row r="39" spans="1:3" ht="16">
      <c r="A39" s="312" t="s">
        <v>712</v>
      </c>
      <c r="B39" s="314"/>
      <c r="C39" s="312"/>
    </row>
    <row r="40" spans="1:3" ht="16">
      <c r="A40" s="312" t="s">
        <v>713</v>
      </c>
      <c r="B40" s="314"/>
      <c r="C40" s="312"/>
    </row>
    <row r="41" spans="1:3" ht="16">
      <c r="A41" s="312" t="s">
        <v>714</v>
      </c>
      <c r="B41" s="314"/>
      <c r="C41" s="312"/>
    </row>
    <row r="42" spans="1:3" ht="16">
      <c r="A42" s="312" t="s">
        <v>715</v>
      </c>
      <c r="B42" s="314"/>
      <c r="C42" s="312"/>
    </row>
    <row r="43" spans="1:3" ht="16">
      <c r="A43" s="312" t="s">
        <v>716</v>
      </c>
      <c r="B43" s="314"/>
      <c r="C43" s="312"/>
    </row>
    <row r="44" spans="1:3" ht="16">
      <c r="A44" s="312" t="s">
        <v>717</v>
      </c>
      <c r="B44" s="314"/>
      <c r="C44" s="312"/>
    </row>
    <row r="45" spans="1:3" ht="16">
      <c r="A45" s="312" t="s">
        <v>718</v>
      </c>
      <c r="B45" s="314"/>
      <c r="C45" s="312"/>
    </row>
  </sheetData>
  <phoneticPr fontId="62" type="noConversion"/>
  <conditionalFormatting sqref="B6:B45">
    <cfRule type="cellIs" dxfId="142" priority="1" operator="equal">
      <formula>"FALSE"</formula>
    </cfRule>
    <cfRule type="cellIs" dxfId="141" priority="2" operator="equal">
      <formula>"TRUE"</formula>
    </cfRule>
  </conditionalFormatting>
  <pageMargins left="0.7" right="0.7" top="0.75" bottom="0.75" header="0.3" footer="0.3"/>
  <pageSetup orientation="portrait" horizontalDpi="0" verticalDpi="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DB18F-6331-DD49-A4C0-9EECBB0CE54D}">
  <sheetPr codeName="Sheet10">
    <tabColor theme="3"/>
  </sheetPr>
  <dimension ref="B3:F162"/>
  <sheetViews>
    <sheetView showGridLines="0" topLeftCell="A120" zoomScaleNormal="100" workbookViewId="0">
      <selection activeCell="D146" sqref="D146"/>
    </sheetView>
  </sheetViews>
  <sheetFormatPr baseColWidth="10" defaultColWidth="11" defaultRowHeight="15"/>
  <cols>
    <col min="2" max="2" width="65" bestFit="1" customWidth="1"/>
    <col min="3" max="3" width="58.33203125" bestFit="1" customWidth="1"/>
    <col min="4" max="4" width="44.83203125" bestFit="1" customWidth="1"/>
    <col min="5" max="5" width="48.6640625" style="1" bestFit="1" customWidth="1"/>
    <col min="7" max="7" width="49.1640625" bestFit="1" customWidth="1"/>
    <col min="8" max="8" width="57.33203125" bestFit="1" customWidth="1"/>
    <col min="9" max="9" width="42.5" bestFit="1" customWidth="1"/>
    <col min="10" max="10" width="35.83203125" bestFit="1" customWidth="1"/>
  </cols>
  <sheetData>
    <row r="3" spans="2:6" ht="29">
      <c r="B3" s="184" t="s">
        <v>137</v>
      </c>
      <c r="E3" s="361" t="s">
        <v>138</v>
      </c>
      <c r="F3" s="361"/>
    </row>
    <row r="4" spans="2:6" ht="19">
      <c r="B4" s="256" t="s">
        <v>114</v>
      </c>
      <c r="E4" s="186" t="s">
        <v>139</v>
      </c>
    </row>
    <row r="5" spans="2:6">
      <c r="B5" t="s">
        <v>106</v>
      </c>
      <c r="E5" t="s">
        <v>140</v>
      </c>
    </row>
    <row r="6" spans="2:6">
      <c r="B6" t="s">
        <v>132</v>
      </c>
      <c r="E6" t="s">
        <v>141</v>
      </c>
    </row>
    <row r="7" spans="2:6">
      <c r="B7" t="s">
        <v>142</v>
      </c>
      <c r="E7" t="s">
        <v>143</v>
      </c>
    </row>
    <row r="8" spans="2:6">
      <c r="B8" t="s">
        <v>144</v>
      </c>
      <c r="E8" t="s">
        <v>145</v>
      </c>
    </row>
    <row r="9" spans="2:6">
      <c r="B9" t="s">
        <v>146</v>
      </c>
      <c r="E9" t="s">
        <v>147</v>
      </c>
    </row>
    <row r="10" spans="2:6">
      <c r="B10" t="s">
        <v>148</v>
      </c>
      <c r="E10" t="s">
        <v>149</v>
      </c>
    </row>
    <row r="11" spans="2:6">
      <c r="B11" t="s">
        <v>150</v>
      </c>
      <c r="E11" t="s">
        <v>151</v>
      </c>
    </row>
    <row r="12" spans="2:6">
      <c r="B12" t="s">
        <v>152</v>
      </c>
      <c r="E12" t="s">
        <v>153</v>
      </c>
    </row>
    <row r="13" spans="2:6">
      <c r="E13" t="s">
        <v>69</v>
      </c>
    </row>
    <row r="14" spans="2:6">
      <c r="E14" t="s">
        <v>154</v>
      </c>
    </row>
    <row r="15" spans="2:6" ht="29">
      <c r="B15" s="184" t="s">
        <v>155</v>
      </c>
      <c r="E15" t="s">
        <v>156</v>
      </c>
    </row>
    <row r="16" spans="2:6" ht="19">
      <c r="B16" s="183" t="s">
        <v>157</v>
      </c>
      <c r="C16" s="183" t="s">
        <v>158</v>
      </c>
      <c r="E16" t="s">
        <v>159</v>
      </c>
    </row>
    <row r="17" spans="2:5">
      <c r="B17" t="s">
        <v>71</v>
      </c>
      <c r="C17" t="s">
        <v>52</v>
      </c>
      <c r="E17" t="s">
        <v>160</v>
      </c>
    </row>
    <row r="18" spans="2:5">
      <c r="B18" t="s">
        <v>161</v>
      </c>
      <c r="C18" t="s">
        <v>162</v>
      </c>
      <c r="E18" t="s">
        <v>163</v>
      </c>
    </row>
    <row r="19" spans="2:5">
      <c r="B19" t="s">
        <v>164</v>
      </c>
      <c r="C19" t="s">
        <v>165</v>
      </c>
      <c r="E19" t="s">
        <v>166</v>
      </c>
    </row>
    <row r="20" spans="2:5">
      <c r="B20" t="s">
        <v>167</v>
      </c>
      <c r="C20" t="s">
        <v>168</v>
      </c>
      <c r="E20" t="s">
        <v>169</v>
      </c>
    </row>
    <row r="21" spans="2:5">
      <c r="B21" t="s">
        <v>170</v>
      </c>
      <c r="C21" t="s">
        <v>171</v>
      </c>
      <c r="E21" t="s">
        <v>172</v>
      </c>
    </row>
    <row r="22" spans="2:5">
      <c r="B22" t="s">
        <v>173</v>
      </c>
      <c r="C22" t="s">
        <v>52</v>
      </c>
      <c r="E22" t="s">
        <v>174</v>
      </c>
    </row>
    <row r="23" spans="2:5">
      <c r="B23" t="s">
        <v>175</v>
      </c>
      <c r="C23" t="s">
        <v>52</v>
      </c>
      <c r="E23" t="s">
        <v>176</v>
      </c>
    </row>
    <row r="24" spans="2:5">
      <c r="E24"/>
    </row>
    <row r="25" spans="2:5" ht="29">
      <c r="B25" s="361" t="s">
        <v>177</v>
      </c>
      <c r="C25" s="361"/>
      <c r="E25"/>
    </row>
    <row r="26" spans="2:5">
      <c r="B26" s="362" t="s">
        <v>178</v>
      </c>
      <c r="C26" s="362"/>
      <c r="E26"/>
    </row>
    <row r="27" spans="2:5">
      <c r="B27" s="362" t="s">
        <v>179</v>
      </c>
      <c r="C27" s="362"/>
      <c r="E27"/>
    </row>
    <row r="28" spans="2:5">
      <c r="B28" s="363" t="s">
        <v>180</v>
      </c>
      <c r="C28" s="363"/>
      <c r="E28"/>
    </row>
    <row r="29" spans="2:5" ht="19">
      <c r="B29" s="186" t="s">
        <v>74</v>
      </c>
      <c r="C29" s="236" t="s">
        <v>181</v>
      </c>
      <c r="D29" s="186" t="s">
        <v>182</v>
      </c>
      <c r="E29" s="186" t="s">
        <v>183</v>
      </c>
    </row>
    <row r="30" spans="2:5">
      <c r="B30" s="235" t="s">
        <v>184</v>
      </c>
      <c r="C30" s="237">
        <v>0</v>
      </c>
      <c r="D30" s="237">
        <v>0.05</v>
      </c>
      <c r="E30" s="238">
        <v>0.1</v>
      </c>
    </row>
    <row r="31" spans="2:5">
      <c r="B31" s="235" t="s">
        <v>185</v>
      </c>
      <c r="C31" s="239">
        <v>0.1</v>
      </c>
      <c r="D31" s="239">
        <v>0.15</v>
      </c>
      <c r="E31" s="238">
        <v>0.2</v>
      </c>
    </row>
    <row r="32" spans="2:5">
      <c r="B32" s="235" t="s">
        <v>186</v>
      </c>
      <c r="C32" s="239">
        <v>0.2</v>
      </c>
      <c r="D32" s="239">
        <v>0.25</v>
      </c>
      <c r="E32" s="238">
        <v>0.3</v>
      </c>
    </row>
    <row r="33" spans="2:5">
      <c r="B33" s="235" t="s">
        <v>108</v>
      </c>
      <c r="C33" s="239">
        <v>0.25</v>
      </c>
      <c r="D33" s="239">
        <v>0.3</v>
      </c>
      <c r="E33" s="238">
        <v>0.35</v>
      </c>
    </row>
    <row r="34" spans="2:5">
      <c r="B34" s="235" t="s">
        <v>75</v>
      </c>
      <c r="C34" s="239">
        <v>0.3</v>
      </c>
      <c r="D34" s="239">
        <v>0.35</v>
      </c>
      <c r="E34" s="238">
        <v>0.35</v>
      </c>
    </row>
    <row r="35" spans="2:5">
      <c r="B35" s="235" t="s">
        <v>187</v>
      </c>
      <c r="C35" s="240">
        <v>0</v>
      </c>
      <c r="D35" s="240">
        <v>0</v>
      </c>
      <c r="E35" s="238">
        <v>0</v>
      </c>
    </row>
    <row r="36" spans="2:5">
      <c r="E36"/>
    </row>
    <row r="37" spans="2:5" ht="19">
      <c r="B37" s="186" t="s">
        <v>74</v>
      </c>
      <c r="C37" s="236" t="s">
        <v>188</v>
      </c>
      <c r="D37" s="186" t="s">
        <v>189</v>
      </c>
      <c r="E37" s="186" t="s">
        <v>190</v>
      </c>
    </row>
    <row r="38" spans="2:5">
      <c r="B38" s="235" t="s">
        <v>184</v>
      </c>
      <c r="C38" s="237">
        <v>0</v>
      </c>
      <c r="D38" s="237">
        <v>0</v>
      </c>
      <c r="E38" s="238">
        <v>0.05</v>
      </c>
    </row>
    <row r="39" spans="2:5">
      <c r="B39" s="235" t="s">
        <v>185</v>
      </c>
      <c r="C39" s="239">
        <v>0.05</v>
      </c>
      <c r="D39" s="239">
        <v>0.1</v>
      </c>
      <c r="E39" s="238">
        <v>0.12</v>
      </c>
    </row>
    <row r="40" spans="2:5">
      <c r="B40" s="235" t="s">
        <v>186</v>
      </c>
      <c r="C40" s="239">
        <v>0.1</v>
      </c>
      <c r="D40" s="239">
        <v>0.12</v>
      </c>
      <c r="E40" s="238">
        <v>0.15</v>
      </c>
    </row>
    <row r="41" spans="2:5">
      <c r="B41" s="235" t="s">
        <v>108</v>
      </c>
      <c r="C41" s="239">
        <v>0.15</v>
      </c>
      <c r="D41" s="239">
        <v>0.17</v>
      </c>
      <c r="E41" s="238">
        <v>0.2</v>
      </c>
    </row>
    <row r="42" spans="2:5">
      <c r="B42" s="235" t="s">
        <v>75</v>
      </c>
      <c r="C42" s="239">
        <v>0.15</v>
      </c>
      <c r="D42" s="239">
        <v>0.2</v>
      </c>
      <c r="E42" s="238">
        <v>0.25</v>
      </c>
    </row>
    <row r="43" spans="2:5">
      <c r="B43" s="235" t="s">
        <v>187</v>
      </c>
      <c r="C43" s="240">
        <v>0</v>
      </c>
      <c r="D43" s="240">
        <v>0</v>
      </c>
      <c r="E43" s="238">
        <v>0</v>
      </c>
    </row>
    <row r="44" spans="2:5">
      <c r="B44" s="234"/>
      <c r="C44" s="240"/>
      <c r="D44" s="240"/>
      <c r="E44" s="241"/>
    </row>
    <row r="45" spans="2:5">
      <c r="E45"/>
    </row>
    <row r="46" spans="2:5" ht="29">
      <c r="B46" s="361" t="s">
        <v>672</v>
      </c>
      <c r="C46" s="361"/>
      <c r="E46"/>
    </row>
    <row r="47" spans="2:5">
      <c r="B47" s="300" t="s">
        <v>673</v>
      </c>
      <c r="C47" s="300"/>
      <c r="E47"/>
    </row>
    <row r="48" spans="2:5">
      <c r="B48" s="300" t="s">
        <v>675</v>
      </c>
      <c r="C48" s="300"/>
      <c r="E48"/>
    </row>
    <row r="49" spans="2:5">
      <c r="B49" s="300" t="s">
        <v>676</v>
      </c>
      <c r="C49" s="300"/>
      <c r="E49"/>
    </row>
    <row r="50" spans="2:5">
      <c r="E50"/>
    </row>
    <row r="51" spans="2:5" ht="45" customHeight="1">
      <c r="B51" s="360" t="s">
        <v>674</v>
      </c>
      <c r="C51" s="360"/>
      <c r="E51"/>
    </row>
    <row r="52" spans="2:5" ht="29">
      <c r="B52" s="233"/>
      <c r="C52" s="233"/>
      <c r="E52"/>
    </row>
    <row r="53" spans="2:5" ht="29">
      <c r="B53" s="233"/>
      <c r="C53" s="233"/>
      <c r="E53"/>
    </row>
    <row r="54" spans="2:5" ht="29">
      <c r="B54" s="233"/>
      <c r="C54" s="233"/>
      <c r="E54"/>
    </row>
    <row r="55" spans="2:5" ht="29">
      <c r="B55" s="233"/>
      <c r="C55" s="233"/>
      <c r="E55"/>
    </row>
    <row r="56" spans="2:5" ht="29">
      <c r="B56" s="233"/>
      <c r="C56" s="233"/>
      <c r="E56"/>
    </row>
    <row r="57" spans="2:5" ht="29">
      <c r="B57" s="233"/>
      <c r="C57" s="233"/>
      <c r="E57"/>
    </row>
    <row r="58" spans="2:5" ht="29">
      <c r="B58" s="233"/>
      <c r="C58" s="233"/>
      <c r="E58"/>
    </row>
    <row r="59" spans="2:5" ht="29">
      <c r="B59" s="233"/>
      <c r="C59" s="233"/>
      <c r="E59"/>
    </row>
    <row r="60" spans="2:5">
      <c r="E60"/>
    </row>
    <row r="66" spans="2:5">
      <c r="B66" s="260" t="s">
        <v>192</v>
      </c>
    </row>
    <row r="68" spans="2:5" ht="29">
      <c r="B68" s="184" t="s">
        <v>193</v>
      </c>
    </row>
    <row r="69" spans="2:5" ht="19">
      <c r="B69" s="183" t="s">
        <v>194</v>
      </c>
      <c r="C69" s="183" t="s">
        <v>195</v>
      </c>
      <c r="D69" s="183" t="s">
        <v>196</v>
      </c>
      <c r="E69" s="258" t="s">
        <v>197</v>
      </c>
    </row>
    <row r="70" spans="2:5">
      <c r="B70" t="str">
        <f>IF(OR('Asset Class Tables and Dropdown'!A3 &lt;&gt; "Real Estate", 'Asset Class Tables and Dropdown'!A3 &lt;&gt; "Name", 'Asset Class Tables and Dropdown'!A3 &lt;&gt; "Private Lending", 'Asset Class Tables and Dropdown'!A3 &lt;&gt; "Private Equity", 'Asset Class Tables and Dropdown'!A3 &lt;&gt; "Natural Resources", 'Asset Class Tables and Dropdown'!A3 &lt;&gt; "Absolute Return", 'Asset Class Tables and Dropdown'!A3 &lt;&gt; "Fixed Income", 'Asset Class Tables and Dropdown'!A3 &lt;&gt; "Public Equity", 'Asset Class Tables and Dropdown'!A3 &lt;&gt; ""), 'Asset Class Tables and Dropdown'!A3, "")</f>
        <v>Apollo Diversified Real Estate Fund Fund</v>
      </c>
      <c r="C70" t="s">
        <v>198</v>
      </c>
      <c r="D70" s="182">
        <f>SUMIF('Investment Proposal Inputs'!$M$29:$M$201, Investment_Proposal_Calculations[[#This Row],[Ticker **Must Match Investment Proposal Inputs**]], 'Investment Proposal Inputs'!$N$29:$N$201)</f>
        <v>0</v>
      </c>
      <c r="E70"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71" spans="2:5">
      <c r="B71" t="str">
        <f>IF(OR('Asset Class Tables and Dropdown'!A4 &lt;&gt; "Real Estate", 'Asset Class Tables and Dropdown'!A4 &lt;&gt; "Name", 'Asset Class Tables and Dropdown'!A4 &lt;&gt; "Private Lending", 'Asset Class Tables and Dropdown'!A4 &lt;&gt; "Private Equity", 'Asset Class Tables and Dropdown'!A4 &lt;&gt; "Natural Resources", 'Asset Class Tables and Dropdown'!A4 &lt;&gt; "Absolute Return", 'Asset Class Tables and Dropdown'!A4 &lt;&gt; "Fixed Income", 'Asset Class Tables and Dropdown'!A4 &lt;&gt; "Public Equity", 'Asset Class Tables and Dropdown'!A4 &lt;&gt; ""), 'Asset Class Tables and Dropdown'!A4, "")</f>
        <v>Blackstone BREIT</v>
      </c>
      <c r="C71" t="s">
        <v>199</v>
      </c>
      <c r="D71" s="182">
        <f>SUMIF('Investment Proposal Inputs'!$M$29:$M$201, Investment_Proposal_Calculations[[#This Row],[Ticker **Must Match Investment Proposal Inputs**]], 'Investment Proposal Inputs'!$N$29:$N$201)</f>
        <v>0</v>
      </c>
      <c r="E71"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72" spans="2:5">
      <c r="B72" t="str">
        <f>IF(OR('Asset Class Tables and Dropdown'!A5 &lt;&gt; "Real Estate", 'Asset Class Tables and Dropdown'!A5 &lt;&gt; "Name", 'Asset Class Tables and Dropdown'!A5 &lt;&gt; "Private Lending", 'Asset Class Tables and Dropdown'!A5 &lt;&gt; "Private Equity", 'Asset Class Tables and Dropdown'!A5 &lt;&gt; "Natural Resources", 'Asset Class Tables and Dropdown'!A5 &lt;&gt; "Absolute Return", 'Asset Class Tables and Dropdown'!A5 &lt;&gt; "Fixed Income", 'Asset Class Tables and Dropdown'!A5 &lt;&gt; "Public Equity", 'Asset Class Tables and Dropdown'!A5 &lt;&gt; ""), 'Asset Class Tables and Dropdown'!A5, "")</f>
        <v>Bluerock Interval Fund</v>
      </c>
      <c r="C72" t="s">
        <v>200</v>
      </c>
      <c r="D72" s="182">
        <f>SUMIF('Investment Proposal Inputs'!$M$29:$M$201, Investment_Proposal_Calculations[[#This Row],[Ticker **Must Match Investment Proposal Inputs**]], 'Investment Proposal Inputs'!$N$29:$N$201)</f>
        <v>0</v>
      </c>
      <c r="E72"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73" spans="2:5">
      <c r="B73" t="str">
        <f>IF(OR('Asset Class Tables and Dropdown'!A6 &lt;&gt; "Real Estate", 'Asset Class Tables and Dropdown'!A6 &lt;&gt; "Name", 'Asset Class Tables and Dropdown'!A6 &lt;&gt; "Private Lending", 'Asset Class Tables and Dropdown'!A6 &lt;&gt; "Private Equity", 'Asset Class Tables and Dropdown'!A6 &lt;&gt; "Natural Resources", 'Asset Class Tables and Dropdown'!A6 &lt;&gt; "Absolute Return", 'Asset Class Tables and Dropdown'!A6 &lt;&gt; "Fixed Income", 'Asset Class Tables and Dropdown'!A6 &lt;&gt; "Public Equity", 'Asset Class Tables and Dropdown'!A6 &lt;&gt; ""), 'Asset Class Tables and Dropdown'!A6, "")</f>
        <v>Easterly Funds Global Real Estate Fund</v>
      </c>
      <c r="C73" t="s">
        <v>201</v>
      </c>
      <c r="D73" s="182">
        <f>SUMIF('Investment Proposal Inputs'!$M$29:$M$201, Investment_Proposal_Calculations[[#This Row],[Ticker **Must Match Investment Proposal Inputs**]], 'Investment Proposal Inputs'!$N$29:$N$201)</f>
        <v>0</v>
      </c>
      <c r="E73"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74" spans="2:5">
      <c r="B74" t="str">
        <f>IF(OR('Asset Class Tables and Dropdown'!A7 &lt;&gt; "Real Estate", 'Asset Class Tables and Dropdown'!A7 &lt;&gt; "Name", 'Asset Class Tables and Dropdown'!A7 &lt;&gt; "Private Lending", 'Asset Class Tables and Dropdown'!A7 &lt;&gt; "Private Equity", 'Asset Class Tables and Dropdown'!A7 &lt;&gt; "Natural Resources", 'Asset Class Tables and Dropdown'!A7 &lt;&gt; "Absolute Return", 'Asset Class Tables and Dropdown'!A7 &lt;&gt; "Fixed Income", 'Asset Class Tables and Dropdown'!A7 &lt;&gt; "Public Equity", 'Asset Class Tables and Dropdown'!A7 &lt;&gt; ""), 'Asset Class Tables and Dropdown'!A7, "")</f>
        <v>Hines Global Income Trust</v>
      </c>
      <c r="C74" t="s">
        <v>202</v>
      </c>
      <c r="D74" s="182">
        <f>SUMIF('Investment Proposal Inputs'!$M$29:$M$201, Investment_Proposal_Calculations[[#This Row],[Ticker **Must Match Investment Proposal Inputs**]], 'Investment Proposal Inputs'!$N$29:$N$201)</f>
        <v>0</v>
      </c>
      <c r="E74"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75" spans="2:5">
      <c r="B75" t="str">
        <f>IF(OR('Asset Class Tables and Dropdown'!A8 &lt;&gt; "Real Estate", 'Asset Class Tables and Dropdown'!A8 &lt;&gt; "Name", 'Asset Class Tables and Dropdown'!A8 &lt;&gt; "Private Lending", 'Asset Class Tables and Dropdown'!A8 &lt;&gt; "Private Equity", 'Asset Class Tables and Dropdown'!A8 &lt;&gt; "Natural Resources", 'Asset Class Tables and Dropdown'!A8 &lt;&gt; "Absolute Return", 'Asset Class Tables and Dropdown'!A8 &lt;&gt; "Fixed Income", 'Asset Class Tables and Dropdown'!A8 &lt;&gt; "Public Equity", 'Asset Class Tables and Dropdown'!A8 &lt;&gt; ""), 'Asset Class Tables and Dropdown'!A8, "")</f>
        <v>Industrial Property Trust</v>
      </c>
      <c r="C75" t="s">
        <v>423</v>
      </c>
      <c r="D75" s="182">
        <f>SUMIF('Investment Proposal Inputs'!$M$29:$M$201, Investment_Proposal_Calculations[[#This Row],[Ticker **Must Match Investment Proposal Inputs**]], 'Investment Proposal Inputs'!$N$29:$N$201)</f>
        <v>0</v>
      </c>
      <c r="E75"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76" spans="2:5">
      <c r="B76" t="str">
        <f>IF(OR('Asset Class Tables and Dropdown'!A9 &lt;&gt; "Real Estate", 'Asset Class Tables and Dropdown'!A9 &lt;&gt; "Name", 'Asset Class Tables and Dropdown'!A9 &lt;&gt; "Private Lending", 'Asset Class Tables and Dropdown'!A9 &lt;&gt; "Private Equity", 'Asset Class Tables and Dropdown'!A9 &lt;&gt; "Natural Resources", 'Asset Class Tables and Dropdown'!A9 &lt;&gt; "Absolute Return", 'Asset Class Tables and Dropdown'!A9 &lt;&gt; "Fixed Income", 'Asset Class Tables and Dropdown'!A9 &lt;&gt; "Public Equity", 'Asset Class Tables and Dropdown'!A9 &lt;&gt; ""), 'Asset Class Tables and Dropdown'!A9, "")</f>
        <v>Nuveen Global Cities REIT</v>
      </c>
      <c r="C76" t="s">
        <v>203</v>
      </c>
      <c r="D76" s="182">
        <f>SUMIF('Investment Proposal Inputs'!$M$29:$M$201, Investment_Proposal_Calculations[[#This Row],[Ticker **Must Match Investment Proposal Inputs**]], 'Investment Proposal Inputs'!$N$29:$N$201)</f>
        <v>0</v>
      </c>
      <c r="E76"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77" spans="2:5">
      <c r="B77" t="str">
        <f>IF(OR('Asset Class Tables and Dropdown'!A10 &lt;&gt; "Real Estate", 'Asset Class Tables and Dropdown'!A10 &lt;&gt; "Name", 'Asset Class Tables and Dropdown'!A10 &lt;&gt; "Private Lending", 'Asset Class Tables and Dropdown'!A10 &lt;&gt; "Private Equity", 'Asset Class Tables and Dropdown'!A10 &lt;&gt; "Natural Resources", 'Asset Class Tables and Dropdown'!A10 &lt;&gt; "Absolute Return", 'Asset Class Tables and Dropdown'!A10 &lt;&gt; "Fixed Income", 'Asset Class Tables and Dropdown'!A10 &lt;&gt; "Public Equity", 'Asset Class Tables and Dropdown'!A10 &lt;&gt; ""), 'Asset Class Tables and Dropdown'!A10, "")</f>
        <v>Sealy Industrial Partners</v>
      </c>
      <c r="C77" t="s">
        <v>425</v>
      </c>
      <c r="D77" s="182">
        <f>SUMIF('Investment Proposal Inputs'!$M$29:$M$201, Investment_Proposal_Calculations[[#This Row],[Ticker **Must Match Investment Proposal Inputs**]], 'Investment Proposal Inputs'!$N$29:$N$201)</f>
        <v>0</v>
      </c>
      <c r="E77"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78" spans="2:5">
      <c r="B78" t="str">
        <f>IF(OR('Asset Class Tables and Dropdown'!A11 &lt;&gt; "Real Estate", 'Asset Class Tables and Dropdown'!A11 &lt;&gt; "Name", 'Asset Class Tables and Dropdown'!A11 &lt;&gt; "Private Lending", 'Asset Class Tables and Dropdown'!A11 &lt;&gt; "Private Equity", 'Asset Class Tables and Dropdown'!A11 &lt;&gt; "Natural Resources", 'Asset Class Tables and Dropdown'!A11 &lt;&gt; "Absolute Return", 'Asset Class Tables and Dropdown'!A11 &lt;&gt; "Fixed Income", 'Asset Class Tables and Dropdown'!A11 &lt;&gt; "Public Equity", 'Asset Class Tables and Dropdown'!A11 &lt;&gt; ""), 'Asset Class Tables and Dropdown'!A11, "")</f>
        <v>Strategic Storage Growth Trust II</v>
      </c>
      <c r="C78" t="s">
        <v>427</v>
      </c>
      <c r="D78" s="182">
        <f>SUMIF('Investment Proposal Inputs'!$M$29:$M$201, Investment_Proposal_Calculations[[#This Row],[Ticker **Must Match Investment Proposal Inputs**]], 'Investment Proposal Inputs'!$N$29:$N$201)</f>
        <v>0</v>
      </c>
      <c r="E78"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79" spans="2:5">
      <c r="B79" t="str">
        <f>IF(OR('Asset Class Tables and Dropdown'!A12 &lt;&gt; "Real Estate", 'Asset Class Tables and Dropdown'!A12 &lt;&gt; "Name", 'Asset Class Tables and Dropdown'!A12 &lt;&gt; "Private Lending", 'Asset Class Tables and Dropdown'!A12 &lt;&gt; "Private Equity", 'Asset Class Tables and Dropdown'!A12 &lt;&gt; "Natural Resources", 'Asset Class Tables and Dropdown'!A12 &lt;&gt; "Absolute Return", 'Asset Class Tables and Dropdown'!A12 &lt;&gt; "Fixed Income", 'Asset Class Tables and Dropdown'!A12 &lt;&gt; "Public Equity", 'Asset Class Tables and Dropdown'!A12 &lt;&gt; ""), 'Asset Class Tables and Dropdown'!A12, "")</f>
        <v>Strategic Storage Trust IV</v>
      </c>
      <c r="C79" t="s">
        <v>428</v>
      </c>
      <c r="D79" s="182">
        <f>SUMIF('Investment Proposal Inputs'!$M$29:$M$201, Investment_Proposal_Calculations[[#This Row],[Ticker **Must Match Investment Proposal Inputs**]], 'Investment Proposal Inputs'!$N$29:$N$201)</f>
        <v>0</v>
      </c>
      <c r="E79"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80" spans="2:5">
      <c r="B80" t="str">
        <f>IF(OR('Asset Class Tables and Dropdown'!A13 &lt;&gt; "Real Estate", 'Asset Class Tables and Dropdown'!A13 &lt;&gt; "Name", 'Asset Class Tables and Dropdown'!A13 &lt;&gt; "Private Lending", 'Asset Class Tables and Dropdown'!A13 &lt;&gt; "Private Equity", 'Asset Class Tables and Dropdown'!A13 &lt;&gt; "Natural Resources", 'Asset Class Tables and Dropdown'!A13 &lt;&gt; "Absolute Return", 'Asset Class Tables and Dropdown'!A13 &lt;&gt; "Fixed Income", 'Asset Class Tables and Dropdown'!A13 &lt;&gt; "Public Equity", 'Asset Class Tables and Dropdown'!A13 &lt;&gt; ""), 'Asset Class Tables and Dropdown'!A13, "")</f>
        <v>Starwood SREIT</v>
      </c>
      <c r="C80" t="s">
        <v>408</v>
      </c>
      <c r="D80" s="182">
        <f>SUMIF('Investment Proposal Inputs'!$M$29:$M$201, Investment_Proposal_Calculations[[#This Row],[Ticker **Must Match Investment Proposal Inputs**]], 'Investment Proposal Inputs'!$N$29:$N$201)</f>
        <v>0</v>
      </c>
      <c r="E80"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81" spans="2:5">
      <c r="B81" t="str">
        <f>IF(OR('Asset Class Tables and Dropdown'!A14 &lt;&gt; "Real Estate", 'Asset Class Tables and Dropdown'!A14 &lt;&gt; "Name", 'Asset Class Tables and Dropdown'!A14 &lt;&gt; "Private Lending", 'Asset Class Tables and Dropdown'!A14 &lt;&gt; "Private Equity", 'Asset Class Tables and Dropdown'!A14 &lt;&gt; "Natural Resources", 'Asset Class Tables and Dropdown'!A14 &lt;&gt; "Absolute Return", 'Asset Class Tables and Dropdown'!A14 &lt;&gt; "Fixed Income", 'Asset Class Tables and Dropdown'!A14 &lt;&gt; "Public Equity", 'Asset Class Tables and Dropdown'!A14 &lt;&gt; ""), 'Asset Class Tables and Dropdown'!A14, "")</f>
        <v>Private Real Estate Opportunity</v>
      </c>
      <c r="C81" t="s">
        <v>204</v>
      </c>
      <c r="D81" s="182">
        <f>SUMIF('Investment Proposal Inputs'!$M$29:$M$201, Investment_Proposal_Calculations[[#This Row],[Ticker **Must Match Investment Proposal Inputs**]], 'Investment Proposal Inputs'!$N$29:$N$201)</f>
        <v>0</v>
      </c>
      <c r="E81"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82" spans="2:5">
      <c r="B82" t="str">
        <f>IF(OR('Asset Class Tables and Dropdown'!A25 &lt;&gt; "Real Estate", 'Asset Class Tables and Dropdown'!A25 &lt;&gt; "Name", 'Asset Class Tables and Dropdown'!A25 &lt;&gt; "Private Lending", 'Asset Class Tables and Dropdown'!A25 &lt;&gt; "Private Equity", 'Asset Class Tables and Dropdown'!A25 &lt;&gt; "Natural Resources", 'Asset Class Tables and Dropdown'!A25 &lt;&gt; "Absolute Return", 'Asset Class Tables and Dropdown'!A25 &lt;&gt; "Fixed Income", 'Asset Class Tables and Dropdown'!A25 &lt;&gt; "Public Equity", 'Asset Class Tables and Dropdown'!A25 &lt;&gt; ""), 'Asset Class Tables and Dropdown'!A25, "")</f>
        <v>Cion Ares Diversified Credit</v>
      </c>
      <c r="C82" t="s">
        <v>205</v>
      </c>
      <c r="D82" s="182">
        <f>SUMIF('Investment Proposal Inputs'!$M$29:$M$201, Investment_Proposal_Calculations[[#This Row],[Ticker **Must Match Investment Proposal Inputs**]], 'Investment Proposal Inputs'!$N$29:$N$201)</f>
        <v>0</v>
      </c>
      <c r="E82"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83" spans="2:5">
      <c r="B83" t="str">
        <f>IF(OR('Asset Class Tables and Dropdown'!A26 &lt;&gt; "Real Estate", 'Asset Class Tables and Dropdown'!A26 &lt;&gt; "Name", 'Asset Class Tables and Dropdown'!A26 &lt;&gt; "Private Lending", 'Asset Class Tables and Dropdown'!A26 &lt;&gt; "Private Equity", 'Asset Class Tables and Dropdown'!A26 &lt;&gt; "Natural Resources", 'Asset Class Tables and Dropdown'!A26 &lt;&gt; "Absolute Return", 'Asset Class Tables and Dropdown'!A26 &lt;&gt; "Fixed Income", 'Asset Class Tables and Dropdown'!A26 &lt;&gt; "Public Equity", 'Asset Class Tables and Dropdown'!A26 &lt;&gt; ""), 'Asset Class Tables and Dropdown'!A26, "")</f>
        <v>Cliffwater Corporate Lending Fund</v>
      </c>
      <c r="C83" t="s">
        <v>206</v>
      </c>
      <c r="D83" s="182">
        <f>SUMIF('Investment Proposal Inputs'!$M$29:$M$201, Investment_Proposal_Calculations[[#This Row],[Ticker **Must Match Investment Proposal Inputs**]], 'Investment Proposal Inputs'!$N$29:$N$201)</f>
        <v>0</v>
      </c>
      <c r="E83"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84" spans="2:5">
      <c r="B84" t="str">
        <f>IF(OR('Asset Class Tables and Dropdown'!A27 &lt;&gt; "Real Estate", 'Asset Class Tables and Dropdown'!A27 &lt;&gt; "Name", 'Asset Class Tables and Dropdown'!A27 &lt;&gt; "Private Lending", 'Asset Class Tables and Dropdown'!A27 &lt;&gt; "Private Equity", 'Asset Class Tables and Dropdown'!A27 &lt;&gt; "Natural Resources", 'Asset Class Tables and Dropdown'!A27 &lt;&gt; "Absolute Return", 'Asset Class Tables and Dropdown'!A27 &lt;&gt; "Fixed Income", 'Asset Class Tables and Dropdown'!A27 &lt;&gt; "Public Equity", 'Asset Class Tables and Dropdown'!A27 &lt;&gt; ""), 'Asset Class Tables and Dropdown'!A27, "")</f>
        <v>Inpoint Commercial Real Estate Income</v>
      </c>
      <c r="C84" t="s">
        <v>430</v>
      </c>
      <c r="D84" s="182">
        <f>SUMIF('Investment Proposal Inputs'!$M$29:$M$201, Investment_Proposal_Calculations[[#This Row],[Ticker **Must Match Investment Proposal Inputs**]], 'Investment Proposal Inputs'!$N$29:$N$201)</f>
        <v>0</v>
      </c>
      <c r="E84"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85" spans="2:5">
      <c r="B85" t="str">
        <f>IF(OR('Asset Class Tables and Dropdown'!A28 &lt;&gt; "Real Estate", 'Asset Class Tables and Dropdown'!A28 &lt;&gt; "Name", 'Asset Class Tables and Dropdown'!A28 &lt;&gt; "Private Lending", 'Asset Class Tables and Dropdown'!A28 &lt;&gt; "Private Equity", 'Asset Class Tables and Dropdown'!A28 &lt;&gt; "Natural Resources", 'Asset Class Tables and Dropdown'!A28 &lt;&gt; "Absolute Return", 'Asset Class Tables and Dropdown'!A28 &lt;&gt; "Fixed Income", 'Asset Class Tables and Dropdown'!A28 &lt;&gt; "Public Equity", 'Asset Class Tables and Dropdown'!A28 &lt;&gt; ""), 'Asset Class Tables and Dropdown'!A28, "")</f>
        <v>Blue Owl Credit Income Corp</v>
      </c>
      <c r="C85" t="s">
        <v>207</v>
      </c>
      <c r="D85" s="182">
        <f>SUMIF('Investment Proposal Inputs'!$M$29:$M$201, Investment_Proposal_Calculations[[#This Row],[Ticker **Must Match Investment Proposal Inputs**]], 'Investment Proposal Inputs'!$N$29:$N$201)</f>
        <v>0</v>
      </c>
      <c r="E85"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86" spans="2:5">
      <c r="B86" t="str">
        <f>IF(OR('Asset Class Tables and Dropdown'!A29 &lt;&gt; "Real Estate", 'Asset Class Tables and Dropdown'!A29 &lt;&gt; "Name", 'Asset Class Tables and Dropdown'!A29 &lt;&gt; "Private Lending", 'Asset Class Tables and Dropdown'!A29 &lt;&gt; "Private Equity", 'Asset Class Tables and Dropdown'!A29 &lt;&gt; "Natural Resources", 'Asset Class Tables and Dropdown'!A29 &lt;&gt; "Absolute Return", 'Asset Class Tables and Dropdown'!A29 &lt;&gt; "Fixed Income", 'Asset Class Tables and Dropdown'!A29 &lt;&gt; "Public Equity", 'Asset Class Tables and Dropdown'!A29 &lt;&gt; ""), 'Asset Class Tables and Dropdown'!A29, "")</f>
        <v>Blue Owl Technology Income Corp</v>
      </c>
      <c r="C86" t="s">
        <v>208</v>
      </c>
      <c r="D86" s="182">
        <f>SUMIF('Investment Proposal Inputs'!$M$29:$M$201, Investment_Proposal_Calculations[[#This Row],[Ticker **Must Match Investment Proposal Inputs**]], 'Investment Proposal Inputs'!$N$29:$N$201)</f>
        <v>0</v>
      </c>
      <c r="E86"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87" spans="2:5">
      <c r="B87" t="str">
        <f>IF(OR('Asset Class Tables and Dropdown'!A30 &lt;&gt; "Real Estate", 'Asset Class Tables and Dropdown'!A30 &lt;&gt; "Name", 'Asset Class Tables and Dropdown'!A30 &lt;&gt; "Private Lending", 'Asset Class Tables and Dropdown'!A30 &lt;&gt; "Private Equity", 'Asset Class Tables and Dropdown'!A30 &lt;&gt; "Natural Resources", 'Asset Class Tables and Dropdown'!A30 &lt;&gt; "Absolute Return", 'Asset Class Tables and Dropdown'!A30 &lt;&gt; "Fixed Income", 'Asset Class Tables and Dropdown'!A30 &lt;&gt; "Public Equity", 'Asset Class Tables and Dropdown'!A30 &lt;&gt; ""), 'Asset Class Tables and Dropdown'!A30, "")</f>
        <v>Nuveen Churchill Private Capital Income Fund</v>
      </c>
      <c r="C87" t="s">
        <v>209</v>
      </c>
      <c r="D87" s="182">
        <f>SUMIF('Investment Proposal Inputs'!$M$29:$M$201, Investment_Proposal_Calculations[[#This Row],[Ticker **Must Match Investment Proposal Inputs**]], 'Investment Proposal Inputs'!$N$29:$N$201)</f>
        <v>0</v>
      </c>
      <c r="E87"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88" spans="2:5">
      <c r="B88" t="str">
        <f>IF(OR('Asset Class Tables and Dropdown'!A31 &lt;&gt; "Real Estate", 'Asset Class Tables and Dropdown'!A31 &lt;&gt; "Name", 'Asset Class Tables and Dropdown'!A31 &lt;&gt; "Private Lending", 'Asset Class Tables and Dropdown'!A31 &lt;&gt; "Private Equity", 'Asset Class Tables and Dropdown'!A31 &lt;&gt; "Natural Resources", 'Asset Class Tables and Dropdown'!A31 &lt;&gt; "Absolute Return", 'Asset Class Tables and Dropdown'!A31 &lt;&gt; "Fixed Income", 'Asset Class Tables and Dropdown'!A31 &lt;&gt; "Public Equity", 'Asset Class Tables and Dropdown'!A31 &lt;&gt; ""), 'Asset Class Tables and Dropdown'!A31, "")</f>
        <v>Private Lending Opportunity</v>
      </c>
      <c r="C88" t="s">
        <v>210</v>
      </c>
      <c r="D88" s="182">
        <f>SUMIF('Investment Proposal Inputs'!$M$29:$M$201, Investment_Proposal_Calculations[[#This Row],[Ticker **Must Match Investment Proposal Inputs**]], 'Investment Proposal Inputs'!$N$29:$N$201)</f>
        <v>0</v>
      </c>
      <c r="E88"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89" spans="2:5">
      <c r="B89" t="str">
        <f>IF(OR('Asset Class Tables and Dropdown'!A40 &lt;&gt; "Real Estate", 'Asset Class Tables and Dropdown'!A40 &lt;&gt; "Name", 'Asset Class Tables and Dropdown'!A40 &lt;&gt; "Private Lending", 'Asset Class Tables and Dropdown'!A40 &lt;&gt; "Private Equity", 'Asset Class Tables and Dropdown'!A40 &lt;&gt; "Natural Resources", 'Asset Class Tables and Dropdown'!A40 &lt;&gt; "Absolute Return", 'Asset Class Tables and Dropdown'!A40 &lt;&gt; "Fixed Income", 'Asset Class Tables and Dropdown'!A40 &lt;&gt; "Public Equity", 'Asset Class Tables and Dropdown'!A40 &lt;&gt; ""), 'Asset Class Tables and Dropdown'!A40, "")</f>
        <v>CNL Strategic Capital</v>
      </c>
      <c r="C89" t="s">
        <v>211</v>
      </c>
      <c r="D89" s="182">
        <f>SUMIF('Investment Proposal Inputs'!$M$29:$M$201, Investment_Proposal_Calculations[[#This Row],[Ticker **Must Match Investment Proposal Inputs**]], 'Investment Proposal Inputs'!$N$29:$N$201)</f>
        <v>0</v>
      </c>
      <c r="E89"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90" spans="2:5">
      <c r="B90" t="str">
        <f>IF(OR('Asset Class Tables and Dropdown'!A41 &lt;&gt; "Real Estate", 'Asset Class Tables and Dropdown'!A41 &lt;&gt; "Name", 'Asset Class Tables and Dropdown'!A41 &lt;&gt; "Private Lending", 'Asset Class Tables and Dropdown'!A41 &lt;&gt; "Private Equity", 'Asset Class Tables and Dropdown'!A41 &lt;&gt; "Natural Resources", 'Asset Class Tables and Dropdown'!A41 &lt;&gt; "Absolute Return", 'Asset Class Tables and Dropdown'!A41 &lt;&gt; "Fixed Income", 'Asset Class Tables and Dropdown'!A41 &lt;&gt; "Public Equity", 'Asset Class Tables and Dropdown'!A41 &lt;&gt; ""), 'Asset Class Tables and Dropdown'!A41, "")</f>
        <v xml:space="preserve">Constitution Capital Ironsides Co-Investment Fund VI </v>
      </c>
      <c r="C90" t="s">
        <v>434</v>
      </c>
      <c r="D90" s="182">
        <f>SUMIF('Investment Proposal Inputs'!$M$29:$M$201, Investment_Proposal_Calculations[[#This Row],[Ticker **Must Match Investment Proposal Inputs**]], 'Investment Proposal Inputs'!$N$29:$N$201)</f>
        <v>0</v>
      </c>
      <c r="E90"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91" spans="2:5">
      <c r="B91" t="str">
        <f>IF(OR('Asset Class Tables and Dropdown'!A42 &lt;&gt; "Real Estate", 'Asset Class Tables and Dropdown'!A42 &lt;&gt; "Name", 'Asset Class Tables and Dropdown'!A42 &lt;&gt; "Private Lending", 'Asset Class Tables and Dropdown'!A42 &lt;&gt; "Private Equity", 'Asset Class Tables and Dropdown'!A42 &lt;&gt; "Natural Resources", 'Asset Class Tables and Dropdown'!A42 &lt;&gt; "Absolute Return", 'Asset Class Tables and Dropdown'!A42 &lt;&gt; "Fixed Income", 'Asset Class Tables and Dropdown'!A42 &lt;&gt; "Public Equity", 'Asset Class Tables and Dropdown'!A42 &lt;&gt; ""), 'Asset Class Tables and Dropdown'!A42, "")</f>
        <v>Hamilton Lane Private Assets Fund</v>
      </c>
      <c r="C91" t="s">
        <v>436</v>
      </c>
      <c r="D91" s="182">
        <f>SUMIF('Investment Proposal Inputs'!$M$29:$M$201, Investment_Proposal_Calculations[[#This Row],[Ticker **Must Match Investment Proposal Inputs**]], 'Investment Proposal Inputs'!$N$29:$N$201)</f>
        <v>0</v>
      </c>
      <c r="E91"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92" spans="2:5">
      <c r="B92" t="str">
        <f>IF(OR('Asset Class Tables and Dropdown'!A43 &lt;&gt; "Real Estate", 'Asset Class Tables and Dropdown'!A43 &lt;&gt; "Name", 'Asset Class Tables and Dropdown'!A43 &lt;&gt; "Private Lending", 'Asset Class Tables and Dropdown'!A43 &lt;&gt; "Private Equity", 'Asset Class Tables and Dropdown'!A43 &lt;&gt; "Natural Resources", 'Asset Class Tables and Dropdown'!A43 &lt;&gt; "Absolute Return", 'Asset Class Tables and Dropdown'!A43 &lt;&gt; "Fixed Income", 'Asset Class Tables and Dropdown'!A43 &lt;&gt; "Public Equity", 'Asset Class Tables and Dropdown'!A43 &lt;&gt; ""), 'Asset Class Tables and Dropdown'!A43, "")</f>
        <v>Ironsides Co-Investment Fund</v>
      </c>
      <c r="C92" t="s">
        <v>437</v>
      </c>
      <c r="D92" s="182">
        <f>SUMIF('Investment Proposal Inputs'!$M$29:$M$201, Investment_Proposal_Calculations[[#This Row],[Ticker **Must Match Investment Proposal Inputs**]], 'Investment Proposal Inputs'!$N$29:$N$201)</f>
        <v>0</v>
      </c>
      <c r="E92"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93" spans="2:5">
      <c r="B93" t="str">
        <f>IF(OR('Asset Class Tables and Dropdown'!A44 &lt;&gt; "Real Estate", 'Asset Class Tables and Dropdown'!A44 &lt;&gt; "Name", 'Asset Class Tables and Dropdown'!A44 &lt;&gt; "Private Lending", 'Asset Class Tables and Dropdown'!A44 &lt;&gt; "Private Equity", 'Asset Class Tables and Dropdown'!A44 &lt;&gt; "Natural Resources", 'Asset Class Tables and Dropdown'!A44 &lt;&gt; "Absolute Return", 'Asset Class Tables and Dropdown'!A44 &lt;&gt; "Fixed Income", 'Asset Class Tables and Dropdown'!A44 &lt;&gt; "Public Equity", 'Asset Class Tables and Dropdown'!A44 &lt;&gt; ""), 'Asset Class Tables and Dropdown'!A44, "")</f>
        <v>Pomona Investment Fund</v>
      </c>
      <c r="C93" t="s">
        <v>213</v>
      </c>
      <c r="D93" s="182">
        <f>SUMIF('Investment Proposal Inputs'!$M$29:$M$201, Investment_Proposal_Calculations[[#This Row],[Ticker **Must Match Investment Proposal Inputs**]], 'Investment Proposal Inputs'!$N$29:$N$201)</f>
        <v>0</v>
      </c>
      <c r="E93"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94" spans="2:5">
      <c r="B94" t="str">
        <f>IF(OR('Asset Class Tables and Dropdown'!A45 &lt;&gt; "Real Estate", 'Asset Class Tables and Dropdown'!A45 &lt;&gt; "Name", 'Asset Class Tables and Dropdown'!A45 &lt;&gt; "Private Lending", 'Asset Class Tables and Dropdown'!A45 &lt;&gt; "Private Equity", 'Asset Class Tables and Dropdown'!A45 &lt;&gt; "Natural Resources", 'Asset Class Tables and Dropdown'!A45 &lt;&gt; "Absolute Return", 'Asset Class Tables and Dropdown'!A45 &lt;&gt; "Fixed Income", 'Asset Class Tables and Dropdown'!A45 &lt;&gt; "Public Equity", 'Asset Class Tables and Dropdown'!A45 &lt;&gt; ""), 'Asset Class Tables and Dropdown'!A45, "")</f>
        <v>Private Equity Opportunity</v>
      </c>
      <c r="C94" t="s">
        <v>214</v>
      </c>
      <c r="D94" s="182">
        <f>SUMIF('Investment Proposal Inputs'!$M$29:$M$201, Investment_Proposal_Calculations[[#This Row],[Ticker **Must Match Investment Proposal Inputs**]], 'Investment Proposal Inputs'!$N$29:$N$201)</f>
        <v>0</v>
      </c>
      <c r="E94"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95" spans="2:5">
      <c r="B95" t="str">
        <f>IF(OR('Asset Class Tables and Dropdown'!A46 &lt;&gt; "Real Estate", 'Asset Class Tables and Dropdown'!A46 &lt;&gt; "Name", 'Asset Class Tables and Dropdown'!A46 &lt;&gt; "Private Lending", 'Asset Class Tables and Dropdown'!A46 &lt;&gt; "Private Equity", 'Asset Class Tables and Dropdown'!A46 &lt;&gt; "Natural Resources", 'Asset Class Tables and Dropdown'!A46 &lt;&gt; "Absolute Return", 'Asset Class Tables and Dropdown'!A46 &lt;&gt; "Fixed Income", 'Asset Class Tables and Dropdown'!A46 &lt;&gt; "Public Equity", 'Asset Class Tables and Dropdown'!A46 &lt;&gt; ""), 'Asset Class Tables and Dropdown'!A46, "")</f>
        <v>Stepstone Private Markets Fund</v>
      </c>
      <c r="C95" t="s">
        <v>215</v>
      </c>
      <c r="D95" s="182">
        <f>SUMIF('Investment Proposal Inputs'!$M$29:$M$201, Investment_Proposal_Calculations[[#This Row],[Ticker **Must Match Investment Proposal Inputs**]], 'Investment Proposal Inputs'!$N$29:$N$201)</f>
        <v>0</v>
      </c>
      <c r="E95"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96" spans="2:5">
      <c r="B96" t="str">
        <f>IF(OR('Asset Class Tables and Dropdown'!A54 &lt;&gt; "Real Estate", 'Asset Class Tables and Dropdown'!A54 &lt;&gt; "Name", 'Asset Class Tables and Dropdown'!A54 &lt;&gt; "Private Lending", 'Asset Class Tables and Dropdown'!A54 &lt;&gt; "Private Equity", 'Asset Class Tables and Dropdown'!A54 &lt;&gt; "Natural Resources", 'Asset Class Tables and Dropdown'!A54 &lt;&gt; "Absolute Return", 'Asset Class Tables and Dropdown'!A54 &lt;&gt; "Fixed Income", 'Asset Class Tables and Dropdown'!A54 &lt;&gt; "Public Equity", 'Asset Class Tables and Dropdown'!A54 &lt;&gt; ""), 'Asset Class Tables and Dropdown'!A54, "")</f>
        <v>APX</v>
      </c>
      <c r="C96" t="s">
        <v>216</v>
      </c>
      <c r="D96" s="182">
        <f>SUMIF('Investment Proposal Inputs'!$M$29:$M$201, Investment_Proposal_Calculations[[#This Row],[Ticker **Must Match Investment Proposal Inputs**]], 'Investment Proposal Inputs'!$N$29:$N$201)</f>
        <v>0</v>
      </c>
      <c r="E96"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97" spans="2:5">
      <c r="B97" t="str">
        <f>IF(OR('Asset Class Tables and Dropdown'!A55 &lt;&gt; "Real Estate", 'Asset Class Tables and Dropdown'!A55 &lt;&gt; "Name", 'Asset Class Tables and Dropdown'!A55 &lt;&gt; "Private Lending", 'Asset Class Tables and Dropdown'!A55 &lt;&gt; "Private Equity", 'Asset Class Tables and Dropdown'!A55 &lt;&gt; "Natural Resources", 'Asset Class Tables and Dropdown'!A55 &lt;&gt; "Absolute Return", 'Asset Class Tables and Dropdown'!A55 &lt;&gt; "Fixed Income", 'Asset Class Tables and Dropdown'!A55 &lt;&gt; "Public Equity", 'Asset Class Tables and Dropdown'!A55 &lt;&gt; ""), 'Asset Class Tables and Dropdown'!A55, "")</f>
        <v>Chevron</v>
      </c>
      <c r="C97" t="s">
        <v>217</v>
      </c>
      <c r="D97" s="182">
        <f>SUMIF('Investment Proposal Inputs'!$M$29:$M$201, Investment_Proposal_Calculations[[#This Row],[Ticker **Must Match Investment Proposal Inputs**]], 'Investment Proposal Inputs'!$N$29:$N$201)</f>
        <v>0</v>
      </c>
      <c r="E97"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98" spans="2:5">
      <c r="B98" t="str">
        <f>IF(OR('Asset Class Tables and Dropdown'!A56 &lt;&gt; "Real Estate", 'Asset Class Tables and Dropdown'!A56 &lt;&gt; "Name", 'Asset Class Tables and Dropdown'!A56 &lt;&gt; "Private Lending", 'Asset Class Tables and Dropdown'!A56 &lt;&gt; "Private Equity", 'Asset Class Tables and Dropdown'!A56 &lt;&gt; "Natural Resources", 'Asset Class Tables and Dropdown'!A56 &lt;&gt; "Absolute Return", 'Asset Class Tables and Dropdown'!A56 &lt;&gt; "Fixed Income", 'Asset Class Tables and Dropdown'!A56 &lt;&gt; "Public Equity", 'Asset Class Tables and Dropdown'!A56 &lt;&gt; ""), 'Asset Class Tables and Dropdown'!A56, "")</f>
        <v>Exxon</v>
      </c>
      <c r="C98" t="s">
        <v>218</v>
      </c>
      <c r="D98" s="182">
        <f>SUMIF('Investment Proposal Inputs'!$M$29:$M$201, Investment_Proposal_Calculations[[#This Row],[Ticker **Must Match Investment Proposal Inputs**]], 'Investment Proposal Inputs'!$N$29:$N$201)</f>
        <v>0</v>
      </c>
      <c r="E98"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99" spans="2:5">
      <c r="B99" t="str">
        <f>IF(OR('Asset Class Tables and Dropdown'!A57 &lt;&gt; "Real Estate", 'Asset Class Tables and Dropdown'!A57 &lt;&gt; "Name", 'Asset Class Tables and Dropdown'!A57 &lt;&gt; "Private Lending", 'Asset Class Tables and Dropdown'!A57 &lt;&gt; "Private Equity", 'Asset Class Tables and Dropdown'!A57 &lt;&gt; "Natural Resources", 'Asset Class Tables and Dropdown'!A57 &lt;&gt; "Absolute Return", 'Asset Class Tables and Dropdown'!A57 &lt;&gt; "Fixed Income", 'Asset Class Tables and Dropdown'!A57 &lt;&gt; "Public Equity", 'Asset Class Tables and Dropdown'!A57 &lt;&gt; ""), 'Asset Class Tables and Dropdown'!A57, "")</f>
        <v xml:space="preserve">Invesco Oppenheimer MLP SteelPath Alpha </v>
      </c>
      <c r="C99" t="s">
        <v>219</v>
      </c>
      <c r="D99" s="182">
        <f>SUMIF('Investment Proposal Inputs'!$M$29:$M$201, Investment_Proposal_Calculations[[#This Row],[Ticker **Must Match Investment Proposal Inputs**]], 'Investment Proposal Inputs'!$N$29:$N$201)</f>
        <v>0</v>
      </c>
      <c r="E99"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00" spans="2:5">
      <c r="B100" t="str">
        <f>IF(OR('Asset Class Tables and Dropdown'!A58 &lt;&gt; "Real Estate", 'Asset Class Tables and Dropdown'!A58 &lt;&gt; "Name", 'Asset Class Tables and Dropdown'!A58 &lt;&gt; "Private Lending", 'Asset Class Tables and Dropdown'!A58 &lt;&gt; "Private Equity", 'Asset Class Tables and Dropdown'!A58 &lt;&gt; "Natural Resources", 'Asset Class Tables and Dropdown'!A58 &lt;&gt; "Absolute Return", 'Asset Class Tables and Dropdown'!A58 &lt;&gt; "Fixed Income", 'Asset Class Tables and Dropdown'!A58 &lt;&gt; "Public Equity", 'Asset Class Tables and Dropdown'!A58 &lt;&gt; ""), 'Asset Class Tables and Dropdown'!A58, "")</f>
        <v>Invesco Oppenheimer MLP SteelPath Income</v>
      </c>
      <c r="C100" t="s">
        <v>220</v>
      </c>
      <c r="D100" s="182">
        <f>SUMIF('Investment Proposal Inputs'!$M$29:$M$201, Investment_Proposal_Calculations[[#This Row],[Ticker **Must Match Investment Proposal Inputs**]], 'Investment Proposal Inputs'!$N$29:$N$201)</f>
        <v>0</v>
      </c>
      <c r="E100"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01" spans="2:5">
      <c r="B101" t="str">
        <f>IF(OR('Asset Class Tables and Dropdown'!A59 &lt;&gt; "Real Estate", 'Asset Class Tables and Dropdown'!A59 &lt;&gt; "Name", 'Asset Class Tables and Dropdown'!A59 &lt;&gt; "Private Lending", 'Asset Class Tables and Dropdown'!A59 &lt;&gt; "Private Equity", 'Asset Class Tables and Dropdown'!A59 &lt;&gt; "Natural Resources", 'Asset Class Tables and Dropdown'!A59 &lt;&gt; "Absolute Return", 'Asset Class Tables and Dropdown'!A59 &lt;&gt; "Fixed Income", 'Asset Class Tables and Dropdown'!A59 &lt;&gt; "Public Equity", 'Asset Class Tables and Dropdown'!A59 &lt;&gt; ""), 'Asset Class Tables and Dropdown'!A59, "")</f>
        <v>PGIM Jennison MLP</v>
      </c>
      <c r="C101" t="s">
        <v>221</v>
      </c>
      <c r="D101" s="182">
        <f>SUMIF('Investment Proposal Inputs'!$M$29:$M$201, Investment_Proposal_Calculations[[#This Row],[Ticker **Must Match Investment Proposal Inputs**]], 'Investment Proposal Inputs'!$N$29:$N$201)</f>
        <v>0</v>
      </c>
      <c r="E101"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02" spans="2:5">
      <c r="B102" t="str">
        <f>IF(OR('Asset Class Tables and Dropdown'!A66 &lt;&gt; "Real Estate", 'Asset Class Tables and Dropdown'!A66 &lt;&gt; "Name", 'Asset Class Tables and Dropdown'!A66 &lt;&gt; "Private Lending", 'Asset Class Tables and Dropdown'!A66 &lt;&gt; "Private Equity", 'Asset Class Tables and Dropdown'!A66 &lt;&gt; "Natural Resources", 'Asset Class Tables and Dropdown'!A66 &lt;&gt; "Absolute Return", 'Asset Class Tables and Dropdown'!A66 &lt;&gt; "Fixed Income", 'Asset Class Tables and Dropdown'!A66 &lt;&gt; "Public Equity", 'Asset Class Tables and Dropdown'!A66 &lt;&gt; ""), 'Asset Class Tables and Dropdown'!A66, "")</f>
        <v>Allianz Index Advantage</v>
      </c>
      <c r="C102" t="s">
        <v>444</v>
      </c>
      <c r="D102" s="182">
        <f>SUMIF('Investment Proposal Inputs'!$M$29:$M$201, Investment_Proposal_Calculations[[#This Row],[Ticker **Must Match Investment Proposal Inputs**]], 'Investment Proposal Inputs'!$N$29:$N$201)</f>
        <v>0</v>
      </c>
      <c r="E102"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03" spans="2:5">
      <c r="B103" t="str">
        <f>IF(OR('Asset Class Tables and Dropdown'!A67 &lt;&gt; "Real Estate", 'Asset Class Tables and Dropdown'!A67 &lt;&gt; "Name", 'Asset Class Tables and Dropdown'!A67 &lt;&gt; "Private Lending", 'Asset Class Tables and Dropdown'!A67 &lt;&gt; "Private Equity", 'Asset Class Tables and Dropdown'!A67 &lt;&gt; "Natural Resources", 'Asset Class Tables and Dropdown'!A67 &lt;&gt; "Absolute Return", 'Asset Class Tables and Dropdown'!A67 &lt;&gt; "Fixed Income", 'Asset Class Tables and Dropdown'!A67 &lt;&gt; "Public Equity", 'Asset Class Tables and Dropdown'!A67 &lt;&gt; ""), 'Asset Class Tables and Dropdown'!A67, "")</f>
        <v>Bluerock Preferred</v>
      </c>
      <c r="C103" t="s">
        <v>722</v>
      </c>
      <c r="D103" s="182">
        <f>SUMIF('Investment Proposal Inputs'!$M$29:$M$201, Investment_Proposal_Calculations[[#This Row],[Ticker **Must Match Investment Proposal Inputs**]], 'Investment Proposal Inputs'!$N$29:$N$201)</f>
        <v>0</v>
      </c>
      <c r="E103"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04" spans="2:5">
      <c r="B104" t="str">
        <f>IF(OR('Asset Class Tables and Dropdown'!A68 &lt;&gt; "Real Estate", 'Asset Class Tables and Dropdown'!A68 &lt;&gt; "Name", 'Asset Class Tables and Dropdown'!A68 &lt;&gt; "Private Lending", 'Asset Class Tables and Dropdown'!A68 &lt;&gt; "Private Equity", 'Asset Class Tables and Dropdown'!A68 &lt;&gt; "Natural Resources", 'Asset Class Tables and Dropdown'!A68 &lt;&gt; "Absolute Return", 'Asset Class Tables and Dropdown'!A68 &lt;&gt; "Fixed Income", 'Asset Class Tables and Dropdown'!A68 &lt;&gt; "Public Equity", 'Asset Class Tables and Dropdown'!A68 &lt;&gt; ""), 'Asset Class Tables and Dropdown'!A68, "")</f>
        <v>Calamos Hedged Equity</v>
      </c>
      <c r="C104" t="s">
        <v>223</v>
      </c>
      <c r="D104" s="182">
        <f>SUMIF('Investment Proposal Inputs'!$M$29:$M$201, Investment_Proposal_Calculations[[#This Row],[Ticker **Must Match Investment Proposal Inputs**]], 'Investment Proposal Inputs'!$N$29:$N$201)</f>
        <v>0</v>
      </c>
      <c r="E104"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05" spans="2:5">
      <c r="B105" t="str">
        <f>IF(OR('Asset Class Tables and Dropdown'!A69 &lt;&gt; "Real Estate", 'Asset Class Tables and Dropdown'!A69 &lt;&gt; "Name", 'Asset Class Tables and Dropdown'!A69 &lt;&gt; "Private Lending", 'Asset Class Tables and Dropdown'!A69 &lt;&gt; "Private Equity", 'Asset Class Tables and Dropdown'!A69 &lt;&gt; "Natural Resources", 'Asset Class Tables and Dropdown'!A69 &lt;&gt; "Absolute Return", 'Asset Class Tables and Dropdown'!A69 &lt;&gt; "Fixed Income", 'Asset Class Tables and Dropdown'!A69 &lt;&gt; "Public Equity", 'Asset Class Tables and Dropdown'!A69 &lt;&gt; ""), 'Asset Class Tables and Dropdown'!A69, "")</f>
        <v>First Trust Target Outcome ETFs - Buffered</v>
      </c>
      <c r="C105" t="s">
        <v>446</v>
      </c>
      <c r="D105" s="182">
        <f>SUMIF('Investment Proposal Inputs'!$M$29:$M$201, Investment_Proposal_Calculations[[#This Row],[Ticker **Must Match Investment Proposal Inputs**]], 'Investment Proposal Inputs'!$N$29:$N$201)</f>
        <v>0</v>
      </c>
      <c r="E105"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06" spans="2:5">
      <c r="B106" t="str">
        <f>IF(OR('Asset Class Tables and Dropdown'!A70 &lt;&gt; "Real Estate", 'Asset Class Tables and Dropdown'!A70 &lt;&gt; "Name", 'Asset Class Tables and Dropdown'!A70 &lt;&gt; "Private Lending", 'Asset Class Tables and Dropdown'!A70 &lt;&gt; "Private Equity", 'Asset Class Tables and Dropdown'!A70 &lt;&gt; "Natural Resources", 'Asset Class Tables and Dropdown'!A70 &lt;&gt; "Absolute Return", 'Asset Class Tables and Dropdown'!A70 &lt;&gt; "Fixed Income", 'Asset Class Tables and Dropdown'!A70 &lt;&gt; "Public Equity", 'Asset Class Tables and Dropdown'!A70 &lt;&gt; ""), 'Asset Class Tables and Dropdown'!A70, "")</f>
        <v>First Trust Target Outcome ETFs - Deep Buffered </v>
      </c>
      <c r="C106" t="s">
        <v>447</v>
      </c>
      <c r="D106" s="182">
        <f>SUMIF('Investment Proposal Inputs'!$M$29:$M$201, Investment_Proposal_Calculations[[#This Row],[Ticker **Must Match Investment Proposal Inputs**]], 'Investment Proposal Inputs'!$N$29:$N$201)</f>
        <v>0</v>
      </c>
      <c r="E106"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07" spans="2:5">
      <c r="B107" t="str">
        <f>IF(OR('Asset Class Tables and Dropdown'!A71 &lt;&gt; "Real Estate", 'Asset Class Tables and Dropdown'!A71 &lt;&gt; "Name", 'Asset Class Tables and Dropdown'!A71 &lt;&gt; "Private Lending", 'Asset Class Tables and Dropdown'!A71 &lt;&gt; "Private Equity", 'Asset Class Tables and Dropdown'!A71 &lt;&gt; "Natural Resources", 'Asset Class Tables and Dropdown'!A71 &lt;&gt; "Absolute Return", 'Asset Class Tables and Dropdown'!A71 &lt;&gt; "Fixed Income", 'Asset Class Tables and Dropdown'!A71 &lt;&gt; "Public Equity", 'Asset Class Tables and Dropdown'!A71 &lt;&gt; ""), 'Asset Class Tables and Dropdown'!A71, "")</f>
        <v>Jackson National FIA</v>
      </c>
      <c r="C107" t="s">
        <v>448</v>
      </c>
      <c r="D107" s="182">
        <f>SUMIF('Investment Proposal Inputs'!$M$29:$M$201, Investment_Proposal_Calculations[[#This Row],[Ticker **Must Match Investment Proposal Inputs**]], 'Investment Proposal Inputs'!$N$29:$N$201)</f>
        <v>0</v>
      </c>
      <c r="E107"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08" spans="2:5">
      <c r="B108" t="str">
        <f>IF(OR('Asset Class Tables and Dropdown'!A72 &lt;&gt; "Real Estate", 'Asset Class Tables and Dropdown'!A72 &lt;&gt; "Name", 'Asset Class Tables and Dropdown'!A72 &lt;&gt; "Private Lending", 'Asset Class Tables and Dropdown'!A72 &lt;&gt; "Private Equity", 'Asset Class Tables and Dropdown'!A72 &lt;&gt; "Natural Resources", 'Asset Class Tables and Dropdown'!A72 &lt;&gt; "Absolute Return", 'Asset Class Tables and Dropdown'!A72 &lt;&gt; "Fixed Income", 'Asset Class Tables and Dropdown'!A72 &lt;&gt; "Public Equity", 'Asset Class Tables and Dropdown'!A72 &lt;&gt; ""), 'Asset Class Tables and Dropdown'!A72, "")</f>
        <v>Jackson National Perspective II</v>
      </c>
      <c r="C108" t="s">
        <v>450</v>
      </c>
      <c r="D108" s="182">
        <f>SUMIF('Investment Proposal Inputs'!$M$29:$M$201, Investment_Proposal_Calculations[[#This Row],[Ticker **Must Match Investment Proposal Inputs**]], 'Investment Proposal Inputs'!$N$29:$N$201)</f>
        <v>0</v>
      </c>
      <c r="E108"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09" spans="2:5">
      <c r="B109" t="str">
        <f>IF(OR('Asset Class Tables and Dropdown'!A73 &lt;&gt; "Real Estate", 'Asset Class Tables and Dropdown'!A73 &lt;&gt; "Name", 'Asset Class Tables and Dropdown'!A73 &lt;&gt; "Private Lending", 'Asset Class Tables and Dropdown'!A73 &lt;&gt; "Private Equity", 'Asset Class Tables and Dropdown'!A73 &lt;&gt; "Natural Resources", 'Asset Class Tables and Dropdown'!A73 &lt;&gt; "Absolute Return", 'Asset Class Tables and Dropdown'!A73 &lt;&gt; "Fixed Income", 'Asset Class Tables and Dropdown'!A73 &lt;&gt; "Public Equity", 'Asset Class Tables and Dropdown'!A73 &lt;&gt; ""), 'Asset Class Tables and Dropdown'!A73, "")</f>
        <v>JPMorgan Hedged Equity</v>
      </c>
      <c r="C109" t="s">
        <v>224</v>
      </c>
      <c r="D109" s="182">
        <f>SUMIF('Investment Proposal Inputs'!$M$29:$M$201, Investment_Proposal_Calculations[[#This Row],[Ticker **Must Match Investment Proposal Inputs**]], 'Investment Proposal Inputs'!$N$29:$N$201)</f>
        <v>0</v>
      </c>
      <c r="E109"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10" spans="2:5">
      <c r="B110" t="str">
        <f>IF(OR('Asset Class Tables and Dropdown'!A74 &lt;&gt; "Real Estate", 'Asset Class Tables and Dropdown'!A74 &lt;&gt; "Name", 'Asset Class Tables and Dropdown'!A74 &lt;&gt; "Private Lending", 'Asset Class Tables and Dropdown'!A74 &lt;&gt; "Private Equity", 'Asset Class Tables and Dropdown'!A74 &lt;&gt; "Natural Resources", 'Asset Class Tables and Dropdown'!A74 &lt;&gt; "Absolute Return", 'Asset Class Tables and Dropdown'!A74 &lt;&gt; "Fixed Income", 'Asset Class Tables and Dropdown'!A74 &lt;&gt; "Public Equity", 'Asset Class Tables and Dropdown'!A74 &lt;&gt; ""), 'Asset Class Tables and Dropdown'!A74, "")</f>
        <v>NexPoint Merger Arbitrage Fund</v>
      </c>
      <c r="C110" t="s">
        <v>212</v>
      </c>
      <c r="D110" s="182">
        <f>SUMIF('Investment Proposal Inputs'!$M$29:$M$201, Investment_Proposal_Calculations[[#This Row],[Ticker **Must Match Investment Proposal Inputs**]], 'Investment Proposal Inputs'!$N$29:$N$201)</f>
        <v>0</v>
      </c>
      <c r="E110"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11" spans="2:5">
      <c r="B111" t="str">
        <f>IF(OR('Asset Class Tables and Dropdown'!A75 &lt;&gt; "Real Estate", 'Asset Class Tables and Dropdown'!A75 &lt;&gt; "Name", 'Asset Class Tables and Dropdown'!A75 &lt;&gt; "Private Lending", 'Asset Class Tables and Dropdown'!A75 &lt;&gt; "Private Equity", 'Asset Class Tables and Dropdown'!A75 &lt;&gt; "Natural Resources", 'Asset Class Tables and Dropdown'!A75 &lt;&gt; "Absolute Return", 'Asset Class Tables and Dropdown'!A75 &lt;&gt; "Fixed Income", 'Asset Class Tables and Dropdown'!A75 &lt;&gt; "Public Equity", 'Asset Class Tables and Dropdown'!A75 &lt;&gt; ""), 'Asset Class Tables and Dropdown'!A75, "")</f>
        <v>S&amp;P500 Market Linked CD</v>
      </c>
      <c r="C111" t="s">
        <v>452</v>
      </c>
      <c r="D111" s="182">
        <f>SUMIF('Investment Proposal Inputs'!$M$29:$M$201, Investment_Proposal_Calculations[[#This Row],[Ticker **Must Match Investment Proposal Inputs**]], 'Investment Proposal Inputs'!$N$29:$N$201)</f>
        <v>0</v>
      </c>
      <c r="E111"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12" spans="2:5">
      <c r="B112" t="str">
        <f>IF(OR('Asset Class Tables and Dropdown'!A76 &lt;&gt; "Real Estate", 'Asset Class Tables and Dropdown'!A76 &lt;&gt; "Name", 'Asset Class Tables and Dropdown'!A76 &lt;&gt; "Private Lending", 'Asset Class Tables and Dropdown'!A76 &lt;&gt; "Private Equity", 'Asset Class Tables and Dropdown'!A76 &lt;&gt; "Natural Resources", 'Asset Class Tables and Dropdown'!A76 &lt;&gt; "Absolute Return", 'Asset Class Tables and Dropdown'!A76 &lt;&gt; "Fixed Income", 'Asset Class Tables and Dropdown'!A76 &lt;&gt; "Public Equity", 'Asset Class Tables and Dropdown'!A76 &lt;&gt; ""), 'Asset Class Tables and Dropdown'!A76, "")</f>
        <v>Swan Defined Risk Growth Fund</v>
      </c>
      <c r="C112" t="s">
        <v>225</v>
      </c>
      <c r="D112" s="182">
        <f>SUMIF('Investment Proposal Inputs'!$M$29:$M$201, Investment_Proposal_Calculations[[#This Row],[Ticker **Must Match Investment Proposal Inputs**]], 'Investment Proposal Inputs'!$N$29:$N$201)</f>
        <v>0</v>
      </c>
      <c r="E112"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13" spans="2:5">
      <c r="B113" t="str">
        <f>IF(OR('Asset Class Tables and Dropdown'!A87 &lt;&gt; "Real Estate", 'Asset Class Tables and Dropdown'!A87 &lt;&gt; "Name", 'Asset Class Tables and Dropdown'!A87 &lt;&gt; "Private Lending", 'Asset Class Tables and Dropdown'!A87 &lt;&gt; "Private Equity", 'Asset Class Tables and Dropdown'!A87 &lt;&gt; "Natural Resources", 'Asset Class Tables and Dropdown'!A87 &lt;&gt; "Absolute Return", 'Asset Class Tables and Dropdown'!A87 &lt;&gt; "Fixed Income", 'Asset Class Tables and Dropdown'!A87 &lt;&gt; "Public Equity", 'Asset Class Tables and Dropdown'!A87 &lt;&gt; ""), 'Asset Class Tables and Dropdown'!A87, "")</f>
        <v>Bluebay Destra International Event Driven Credit Fund</v>
      </c>
      <c r="C113" t="s">
        <v>226</v>
      </c>
      <c r="D113" s="182">
        <f>SUMIF('Investment Proposal Inputs'!$M$29:$M$201, Investment_Proposal_Calculations[[#This Row],[Ticker **Must Match Investment Proposal Inputs**]], 'Investment Proposal Inputs'!$N$29:$N$201)</f>
        <v>0</v>
      </c>
      <c r="E113"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14" spans="2:5">
      <c r="B114" t="str">
        <f>IF(OR('Asset Class Tables and Dropdown'!A88 &lt;&gt; "Real Estate", 'Asset Class Tables and Dropdown'!A88 &lt;&gt; "Name", 'Asset Class Tables and Dropdown'!A88 &lt;&gt; "Private Lending", 'Asset Class Tables and Dropdown'!A88 &lt;&gt; "Private Equity", 'Asset Class Tables and Dropdown'!A88 &lt;&gt; "Natural Resources", 'Asset Class Tables and Dropdown'!A88 &lt;&gt; "Absolute Return", 'Asset Class Tables and Dropdown'!A88 &lt;&gt; "Fixed Income", 'Asset Class Tables and Dropdown'!A88 &lt;&gt; "Public Equity", 'Asset Class Tables and Dropdown'!A88 &lt;&gt; ""), 'Asset Class Tables and Dropdown'!A88, "")</f>
        <v>Counterpoint Tactical Income Fund</v>
      </c>
      <c r="C114" t="s">
        <v>227</v>
      </c>
      <c r="D114" s="182">
        <f>SUMIF('Investment Proposal Inputs'!$M$29:$M$201, Investment_Proposal_Calculations[[#This Row],[Ticker **Must Match Investment Proposal Inputs**]], 'Investment Proposal Inputs'!$N$29:$N$201)</f>
        <v>0</v>
      </c>
      <c r="E114"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15" spans="2:5">
      <c r="B115" t="str">
        <f>IF(OR('Asset Class Tables and Dropdown'!A89 &lt;&gt; "Real Estate", 'Asset Class Tables and Dropdown'!A89 &lt;&gt; "Name", 'Asset Class Tables and Dropdown'!A89 &lt;&gt; "Private Lending", 'Asset Class Tables and Dropdown'!A89 &lt;&gt; "Private Equity", 'Asset Class Tables and Dropdown'!A89 &lt;&gt; "Natural Resources", 'Asset Class Tables and Dropdown'!A89 &lt;&gt; "Absolute Return", 'Asset Class Tables and Dropdown'!A89 &lt;&gt; "Fixed Income", 'Asset Class Tables and Dropdown'!A89 &lt;&gt; "Public Equity", 'Asset Class Tables and Dropdown'!A89 &lt;&gt; ""), 'Asset Class Tables and Dropdown'!A89, "")</f>
        <v>Easterly Income Opportunities</v>
      </c>
      <c r="C115" t="s">
        <v>228</v>
      </c>
      <c r="D115" s="182">
        <f>SUMIF('Investment Proposal Inputs'!$M$29:$M$201, Investment_Proposal_Calculations[[#This Row],[Ticker **Must Match Investment Proposal Inputs**]], 'Investment Proposal Inputs'!$N$29:$N$201)</f>
        <v>0</v>
      </c>
      <c r="E115"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16" spans="2:5">
      <c r="B116" t="str">
        <f>IF(OR('Asset Class Tables and Dropdown'!A90 &lt;&gt; "Real Estate", 'Asset Class Tables and Dropdown'!A90 &lt;&gt; "Name", 'Asset Class Tables and Dropdown'!A90 &lt;&gt; "Private Lending", 'Asset Class Tables and Dropdown'!A90 &lt;&gt; "Private Equity", 'Asset Class Tables and Dropdown'!A90 &lt;&gt; "Natural Resources", 'Asset Class Tables and Dropdown'!A90 &lt;&gt; "Absolute Return", 'Asset Class Tables and Dropdown'!A90 &lt;&gt; "Fixed Income", 'Asset Class Tables and Dropdown'!A90 &lt;&gt; "Public Equity", 'Asset Class Tables and Dropdown'!A90 &lt;&gt; ""), 'Asset Class Tables and Dropdown'!A90, "")</f>
        <v>Lord Abbett Credit Opportunities Fund</v>
      </c>
      <c r="C116" t="s">
        <v>723</v>
      </c>
      <c r="D116" s="182">
        <f>SUMIF('Investment Proposal Inputs'!$M$29:$M$201, Investment_Proposal_Calculations[[#This Row],[Ticker **Must Match Investment Proposal Inputs**]], 'Investment Proposal Inputs'!$N$29:$N$201)</f>
        <v>0</v>
      </c>
      <c r="E116"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17" spans="2:5">
      <c r="B117" t="str">
        <f>IF(OR('Asset Class Tables and Dropdown'!A91 &lt;&gt; "Real Estate", 'Asset Class Tables and Dropdown'!A91 &lt;&gt; "Name", 'Asset Class Tables and Dropdown'!A91 &lt;&gt; "Private Lending", 'Asset Class Tables and Dropdown'!A91 &lt;&gt; "Private Equity", 'Asset Class Tables and Dropdown'!A91 &lt;&gt; "Natural Resources", 'Asset Class Tables and Dropdown'!A91 &lt;&gt; "Absolute Return", 'Asset Class Tables and Dropdown'!A91 &lt;&gt; "Fixed Income", 'Asset Class Tables and Dropdown'!A91 &lt;&gt; "Public Equity", 'Asset Class Tables and Dropdown'!A91 &lt;&gt; ""), 'Asset Class Tables and Dropdown'!A91, "")</f>
        <v>PGIM Jennison High Yield</v>
      </c>
      <c r="C117" t="s">
        <v>230</v>
      </c>
      <c r="D117" s="182">
        <f>SUMIF('Investment Proposal Inputs'!$M$29:$M$201, Investment_Proposal_Calculations[[#This Row],[Ticker **Must Match Investment Proposal Inputs**]], 'Investment Proposal Inputs'!$N$29:$N$201)</f>
        <v>0</v>
      </c>
      <c r="E117"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18" spans="2:5">
      <c r="B118" t="str">
        <f>IF(OR('Asset Class Tables and Dropdown'!A92 &lt;&gt; "Real Estate", 'Asset Class Tables and Dropdown'!A92 &lt;&gt; "Name", 'Asset Class Tables and Dropdown'!A92 &lt;&gt; "Private Lending", 'Asset Class Tables and Dropdown'!A92 &lt;&gt; "Private Equity", 'Asset Class Tables and Dropdown'!A92 &lt;&gt; "Natural Resources", 'Asset Class Tables and Dropdown'!A92 &lt;&gt; "Absolute Return", 'Asset Class Tables and Dropdown'!A92 &lt;&gt; "Fixed Income", 'Asset Class Tables and Dropdown'!A92 &lt;&gt; "Public Equity", 'Asset Class Tables and Dropdown'!A92 &lt;&gt; ""), 'Asset Class Tables and Dropdown'!A92, "")</f>
        <v>PGIM Jennison Short Duration High Yield</v>
      </c>
      <c r="C118" t="s">
        <v>231</v>
      </c>
      <c r="D118" s="182">
        <f>SUMIF('Investment Proposal Inputs'!$M$29:$M$201, Investment_Proposal_Calculations[[#This Row],[Ticker **Must Match Investment Proposal Inputs**]], 'Investment Proposal Inputs'!$N$29:$N$201)</f>
        <v>0</v>
      </c>
      <c r="E118"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19" spans="2:5">
      <c r="B119" t="str">
        <f>IF(OR('Asset Class Tables and Dropdown'!A93 &lt;&gt; "Real Estate", 'Asset Class Tables and Dropdown'!A93 &lt;&gt; "Name", 'Asset Class Tables and Dropdown'!A93 &lt;&gt; "Private Lending", 'Asset Class Tables and Dropdown'!A93 &lt;&gt; "Private Equity", 'Asset Class Tables and Dropdown'!A93 &lt;&gt; "Natural Resources", 'Asset Class Tables and Dropdown'!A93 &lt;&gt; "Absolute Return", 'Asset Class Tables and Dropdown'!A93 &lt;&gt; "Fixed Income", 'Asset Class Tables and Dropdown'!A93 &lt;&gt; "Public Equity", 'Asset Class Tables and Dropdown'!A93 &lt;&gt; ""), 'Asset Class Tables and Dropdown'!A93, "")</f>
        <v>PIMCO Income</v>
      </c>
      <c r="C119" t="s">
        <v>232</v>
      </c>
      <c r="D119" s="182">
        <f>SUMIF('Investment Proposal Inputs'!$M$29:$M$201, Investment_Proposal_Calculations[[#This Row],[Ticker **Must Match Investment Proposal Inputs**]], 'Investment Proposal Inputs'!$N$29:$N$201)</f>
        <v>0</v>
      </c>
      <c r="E119"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20" spans="2:5">
      <c r="B120" t="str">
        <f>IF(OR('Asset Class Tables and Dropdown'!A94 &lt;&gt; "Real Estate", 'Asset Class Tables and Dropdown'!A94 &lt;&gt; "Name", 'Asset Class Tables and Dropdown'!A94 &lt;&gt; "Private Lending", 'Asset Class Tables and Dropdown'!A94 &lt;&gt; "Private Equity", 'Asset Class Tables and Dropdown'!A94 &lt;&gt; "Natural Resources", 'Asset Class Tables and Dropdown'!A94 &lt;&gt; "Absolute Return", 'Asset Class Tables and Dropdown'!A94 &lt;&gt; "Fixed Income", 'Asset Class Tables and Dropdown'!A94 &lt;&gt; "Public Equity", 'Asset Class Tables and Dropdown'!A94 &lt;&gt; ""), 'Asset Class Tables and Dropdown'!A94, "")</f>
        <v>Cash</v>
      </c>
      <c r="C120" t="s">
        <v>113</v>
      </c>
      <c r="D120" s="182">
        <f>SUMIF('Investment Proposal Inputs'!$M$29:$M$201, Investment_Proposal_Calculations[[#This Row],[Ticker **Must Match Investment Proposal Inputs**]], 'Investment Proposal Inputs'!$N$29:$N$201)</f>
        <v>0</v>
      </c>
      <c r="E120"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21" spans="2:5">
      <c r="B121" t="str">
        <f>IF(OR('Asset Class Tables and Dropdown'!A100 &lt;&gt; "Real Estate", 'Asset Class Tables and Dropdown'!A100 &lt;&gt; "Name", 'Asset Class Tables and Dropdown'!A100 &lt;&gt; "Private Lending", 'Asset Class Tables and Dropdown'!A100 &lt;&gt; "Private Equity", 'Asset Class Tables and Dropdown'!A100 &lt;&gt; "Natural Resources", 'Asset Class Tables and Dropdown'!A100 &lt;&gt; "Absolute Return", 'Asset Class Tables and Dropdown'!A100 &lt;&gt; "Fixed Income", 'Asset Class Tables and Dropdown'!A100 &lt;&gt; "Public Equity", 'Asset Class Tables and Dropdown'!A100 &lt;&gt; ""), 'Asset Class Tables and Dropdown'!A100, "")</f>
        <v>Alkeon ACAP Strategic Fund</v>
      </c>
      <c r="C121" t="s">
        <v>233</v>
      </c>
      <c r="D121" s="182">
        <f>SUMIF('Investment Proposal Inputs'!$M$29:$M$201, Investment_Proposal_Calculations[[#This Row],[Ticker **Must Match Investment Proposal Inputs**]], 'Investment Proposal Inputs'!$N$29:$N$201)</f>
        <v>0</v>
      </c>
      <c r="E121"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22" spans="2:5">
      <c r="B122" t="str">
        <f>IF(OR('Asset Class Tables and Dropdown'!A101 &lt;&gt; "Real Estate", 'Asset Class Tables and Dropdown'!A101 &lt;&gt; "Name", 'Asset Class Tables and Dropdown'!A101 &lt;&gt; "Private Lending", 'Asset Class Tables and Dropdown'!A101 &lt;&gt; "Private Equity", 'Asset Class Tables and Dropdown'!A101 &lt;&gt; "Natural Resources", 'Asset Class Tables and Dropdown'!A101 &lt;&gt; "Absolute Return", 'Asset Class Tables and Dropdown'!A101 &lt;&gt; "Fixed Income", 'Asset Class Tables and Dropdown'!A101 &lt;&gt; "Public Equity", 'Asset Class Tables and Dropdown'!A101 &lt;&gt; ""), 'Asset Class Tables and Dropdown'!A101, "")</f>
        <v xml:space="preserve">Advanced Micro Devices </v>
      </c>
      <c r="C122" t="s">
        <v>234</v>
      </c>
      <c r="D122" s="182">
        <f>SUMIF('Investment Proposal Inputs'!$M$29:$M$201, Investment_Proposal_Calculations[[#This Row],[Ticker **Must Match Investment Proposal Inputs**]], 'Investment Proposal Inputs'!$N$29:$N$201)</f>
        <v>0</v>
      </c>
      <c r="E122"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23" spans="2:5">
      <c r="B123" t="str">
        <f>IF(OR('Asset Class Tables and Dropdown'!A102 &lt;&gt; "Real Estate", 'Asset Class Tables and Dropdown'!A102 &lt;&gt; "Name", 'Asset Class Tables and Dropdown'!A102 &lt;&gt; "Private Lending", 'Asset Class Tables and Dropdown'!A102 &lt;&gt; "Private Equity", 'Asset Class Tables and Dropdown'!A102 &lt;&gt; "Natural Resources", 'Asset Class Tables and Dropdown'!A102 &lt;&gt; "Absolute Return", 'Asset Class Tables and Dropdown'!A102 &lt;&gt; "Fixed Income", 'Asset Class Tables and Dropdown'!A102 &lt;&gt; "Public Equity", 'Asset Class Tables and Dropdown'!A102 &lt;&gt; ""), 'Asset Class Tables and Dropdown'!A102, "")</f>
        <v>American Airlines</v>
      </c>
      <c r="C123" t="s">
        <v>235</v>
      </c>
      <c r="D123" s="182">
        <f>SUMIF('Investment Proposal Inputs'!$M$29:$M$201, Investment_Proposal_Calculations[[#This Row],[Ticker **Must Match Investment Proposal Inputs**]], 'Investment Proposal Inputs'!$N$29:$N$201)</f>
        <v>0</v>
      </c>
      <c r="E123"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24" spans="2:5">
      <c r="B124" t="str">
        <f>IF(OR('Asset Class Tables and Dropdown'!A103 &lt;&gt; "Real Estate", 'Asset Class Tables and Dropdown'!A103 &lt;&gt; "Name", 'Asset Class Tables and Dropdown'!A103 &lt;&gt; "Private Lending", 'Asset Class Tables and Dropdown'!A103 &lt;&gt; "Private Equity", 'Asset Class Tables and Dropdown'!A103 &lt;&gt; "Natural Resources", 'Asset Class Tables and Dropdown'!A103 &lt;&gt; "Absolute Return", 'Asset Class Tables and Dropdown'!A103 &lt;&gt; "Fixed Income", 'Asset Class Tables and Dropdown'!A103 &lt;&gt; "Public Equity", 'Asset Class Tables and Dropdown'!A103 &lt;&gt; ""), 'Asset Class Tables and Dropdown'!A103, "")</f>
        <v>Ares Capital Corp.</v>
      </c>
      <c r="C124" t="s">
        <v>236</v>
      </c>
      <c r="D124" s="182">
        <f>SUMIF('Investment Proposal Inputs'!$M$29:$M$201, Investment_Proposal_Calculations[[#This Row],[Ticker **Must Match Investment Proposal Inputs**]], 'Investment Proposal Inputs'!$N$29:$N$201)</f>
        <v>0</v>
      </c>
      <c r="E124"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25" spans="2:5">
      <c r="B125" t="str">
        <f>IF(OR('Asset Class Tables and Dropdown'!A104 &lt;&gt; "Real Estate", 'Asset Class Tables and Dropdown'!A104 &lt;&gt; "Name", 'Asset Class Tables and Dropdown'!A104 &lt;&gt; "Private Lending", 'Asset Class Tables and Dropdown'!A104 &lt;&gt; "Private Equity", 'Asset Class Tables and Dropdown'!A104 &lt;&gt; "Natural Resources", 'Asset Class Tables and Dropdown'!A104 &lt;&gt; "Absolute Return", 'Asset Class Tables and Dropdown'!A104 &lt;&gt; "Fixed Income", 'Asset Class Tables and Dropdown'!A104 &lt;&gt; "Public Equity", 'Asset Class Tables and Dropdown'!A104 &lt;&gt; ""), 'Asset Class Tables and Dropdown'!A104, "")</f>
        <v xml:space="preserve">Ark Fintech Innovation ETF </v>
      </c>
      <c r="C125" t="s">
        <v>237</v>
      </c>
      <c r="D125" s="182">
        <f>SUMIF('Investment Proposal Inputs'!$M$29:$M$201, Investment_Proposal_Calculations[[#This Row],[Ticker **Must Match Investment Proposal Inputs**]], 'Investment Proposal Inputs'!$N$29:$N$201)</f>
        <v>0</v>
      </c>
      <c r="E125"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26" spans="2:5">
      <c r="B126" t="str">
        <f>IF(OR('Asset Class Tables and Dropdown'!A105 &lt;&gt; "Real Estate", 'Asset Class Tables and Dropdown'!A105 &lt;&gt; "Name", 'Asset Class Tables and Dropdown'!A105 &lt;&gt; "Private Lending", 'Asset Class Tables and Dropdown'!A105 &lt;&gt; "Private Equity", 'Asset Class Tables and Dropdown'!A105 &lt;&gt; "Natural Resources", 'Asset Class Tables and Dropdown'!A105 &lt;&gt; "Absolute Return", 'Asset Class Tables and Dropdown'!A105 &lt;&gt; "Fixed Income", 'Asset Class Tables and Dropdown'!A105 &lt;&gt; "Public Equity", 'Asset Class Tables and Dropdown'!A105 &lt;&gt; ""), 'Asset Class Tables and Dropdown'!A105, "")</f>
        <v>BlackRock Health Sciences</v>
      </c>
      <c r="C126" t="s">
        <v>238</v>
      </c>
      <c r="D126" s="182">
        <f>SUMIF('Investment Proposal Inputs'!$M$29:$M$201, Investment_Proposal_Calculations[[#This Row],[Ticker **Must Match Investment Proposal Inputs**]], 'Investment Proposal Inputs'!$N$29:$N$201)</f>
        <v>0</v>
      </c>
      <c r="E126"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27" spans="2:5">
      <c r="B127" t="str">
        <f>IF(OR('Asset Class Tables and Dropdown'!A106 &lt;&gt; "Real Estate", 'Asset Class Tables and Dropdown'!A106 &lt;&gt; "Name", 'Asset Class Tables and Dropdown'!A106 &lt;&gt; "Private Lending", 'Asset Class Tables and Dropdown'!A106 &lt;&gt; "Private Equity", 'Asset Class Tables and Dropdown'!A106 &lt;&gt; "Natural Resources", 'Asset Class Tables and Dropdown'!A106 &lt;&gt; "Absolute Return", 'Asset Class Tables and Dropdown'!A106 &lt;&gt; "Fixed Income", 'Asset Class Tables and Dropdown'!A106 &lt;&gt; "Public Equity", 'Asset Class Tables and Dropdown'!A106 &lt;&gt; ""), 'Asset Class Tables and Dropdown'!A106, "")</f>
        <v>Bluerock Residential Growth</v>
      </c>
      <c r="C127" t="s">
        <v>724</v>
      </c>
      <c r="D127" s="182">
        <f>SUMIF('Investment Proposal Inputs'!$M$29:$M$201, Investment_Proposal_Calculations[[#This Row],[Ticker **Must Match Investment Proposal Inputs**]], 'Investment Proposal Inputs'!$N$29:$N$201)</f>
        <v>0</v>
      </c>
      <c r="E127"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28" spans="2:5">
      <c r="B128" t="str">
        <f>IF(OR('Asset Class Tables and Dropdown'!A107 &lt;&gt; "Real Estate", 'Asset Class Tables and Dropdown'!A107 &lt;&gt; "Name", 'Asset Class Tables and Dropdown'!A107 &lt;&gt; "Private Lending", 'Asset Class Tables and Dropdown'!A107 &lt;&gt; "Private Equity", 'Asset Class Tables and Dropdown'!A107 &lt;&gt; "Natural Resources", 'Asset Class Tables and Dropdown'!A107 &lt;&gt; "Absolute Return", 'Asset Class Tables and Dropdown'!A107 &lt;&gt; "Fixed Income", 'Asset Class Tables and Dropdown'!A107 &lt;&gt; "Public Equity", 'Asset Class Tables and Dropdown'!A107 &lt;&gt; ""), 'Asset Class Tables and Dropdown'!A107, "")</f>
        <v>Carnival Corp</v>
      </c>
      <c r="C128" t="s">
        <v>240</v>
      </c>
      <c r="D128" s="182">
        <f>SUMIF('Investment Proposal Inputs'!$M$29:$M$201, Investment_Proposal_Calculations[[#This Row],[Ticker **Must Match Investment Proposal Inputs**]], 'Investment Proposal Inputs'!$N$29:$N$201)</f>
        <v>0</v>
      </c>
      <c r="E128"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29" spans="2:5">
      <c r="B129" t="str">
        <f>IF(OR('Asset Class Tables and Dropdown'!A108 &lt;&gt; "Real Estate", 'Asset Class Tables and Dropdown'!A108 &lt;&gt; "Name", 'Asset Class Tables and Dropdown'!A108 &lt;&gt; "Private Lending", 'Asset Class Tables and Dropdown'!A108 &lt;&gt; "Private Equity", 'Asset Class Tables and Dropdown'!A108 &lt;&gt; "Natural Resources", 'Asset Class Tables and Dropdown'!A108 &lt;&gt; "Absolute Return", 'Asset Class Tables and Dropdown'!A108 &lt;&gt; "Fixed Income", 'Asset Class Tables and Dropdown'!A108 &lt;&gt; "Public Equity", 'Asset Class Tables and Dropdown'!A108 &lt;&gt; ""), 'Asset Class Tables and Dropdown'!A108, "")</f>
        <v>ClearBridge International Growth Fund</v>
      </c>
      <c r="C129" t="s">
        <v>241</v>
      </c>
      <c r="D129" s="182">
        <f>SUMIF('Investment Proposal Inputs'!$M$29:$M$201, Investment_Proposal_Calculations[[#This Row],[Ticker **Must Match Investment Proposal Inputs**]], 'Investment Proposal Inputs'!$N$29:$N$201)</f>
        <v>0</v>
      </c>
      <c r="E129"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30" spans="2:5">
      <c r="B130" t="str">
        <f>IF(OR('Asset Class Tables and Dropdown'!A109 &lt;&gt; "Real Estate", 'Asset Class Tables and Dropdown'!A109 &lt;&gt; "Name", 'Asset Class Tables and Dropdown'!A109 &lt;&gt; "Private Lending", 'Asset Class Tables and Dropdown'!A109 &lt;&gt; "Private Equity", 'Asset Class Tables and Dropdown'!A109 &lt;&gt; "Natural Resources", 'Asset Class Tables and Dropdown'!A109 &lt;&gt; "Absolute Return", 'Asset Class Tables and Dropdown'!A109 &lt;&gt; "Fixed Income", 'Asset Class Tables and Dropdown'!A109 &lt;&gt; "Public Equity", 'Asset Class Tables and Dropdown'!A109 &lt;&gt; ""), 'Asset Class Tables and Dropdown'!A109, "")</f>
        <v>Crowdstrike Holdings Inc</v>
      </c>
      <c r="C130" t="s">
        <v>239</v>
      </c>
      <c r="D130" s="182">
        <f>SUMIF('Investment Proposal Inputs'!$M$29:$M$201, Investment_Proposal_Calculations[[#This Row],[Ticker **Must Match Investment Proposal Inputs**]], 'Investment Proposal Inputs'!$N$29:$N$201)</f>
        <v>0</v>
      </c>
      <c r="E130"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31" spans="2:5">
      <c r="B131" t="str">
        <f>IF(OR('Asset Class Tables and Dropdown'!A110 &lt;&gt; "Real Estate", 'Asset Class Tables and Dropdown'!A110 &lt;&gt; "Name", 'Asset Class Tables and Dropdown'!A110 &lt;&gt; "Private Lending", 'Asset Class Tables and Dropdown'!A110 &lt;&gt; "Private Equity", 'Asset Class Tables and Dropdown'!A110 &lt;&gt; "Natural Resources", 'Asset Class Tables and Dropdown'!A110 &lt;&gt; "Absolute Return", 'Asset Class Tables and Dropdown'!A110 &lt;&gt; "Fixed Income", 'Asset Class Tables and Dropdown'!A110 &lt;&gt; "Public Equity", 'Asset Class Tables and Dropdown'!A110 &lt;&gt; ""), 'Asset Class Tables and Dropdown'!A110, "")</f>
        <v>Delta Airlines</v>
      </c>
      <c r="C131" t="s">
        <v>561</v>
      </c>
      <c r="D131" s="182">
        <f>SUMIF('Investment Proposal Inputs'!$M$29:$M$201, Investment_Proposal_Calculations[[#This Row],[Ticker **Must Match Investment Proposal Inputs**]], 'Investment Proposal Inputs'!$N$29:$N$201)</f>
        <v>0</v>
      </c>
      <c r="E131"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32" spans="2:5">
      <c r="B132" t="str">
        <f>IF(OR('Asset Class Tables and Dropdown'!A111 &lt;&gt; "Real Estate", 'Asset Class Tables and Dropdown'!A111 &lt;&gt; "Name", 'Asset Class Tables and Dropdown'!A111 &lt;&gt; "Private Lending", 'Asset Class Tables and Dropdown'!A111 &lt;&gt; "Private Equity", 'Asset Class Tables and Dropdown'!A111 &lt;&gt; "Natural Resources", 'Asset Class Tables and Dropdown'!A111 &lt;&gt; "Absolute Return", 'Asset Class Tables and Dropdown'!A111 &lt;&gt; "Fixed Income", 'Asset Class Tables and Dropdown'!A111 &lt;&gt; "Public Equity", 'Asset Class Tables and Dropdown'!A111 &lt;&gt; ""), 'Asset Class Tables and Dropdown'!A111, "")</f>
        <v>FS KKR Capital Corp.</v>
      </c>
      <c r="C132" t="s">
        <v>242</v>
      </c>
      <c r="D132" s="182">
        <f>SUMIF('Investment Proposal Inputs'!$M$29:$M$201, Investment_Proposal_Calculations[[#This Row],[Ticker **Must Match Investment Proposal Inputs**]], 'Investment Proposal Inputs'!$N$29:$N$201)</f>
        <v>0</v>
      </c>
      <c r="E132"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33" spans="2:5">
      <c r="B133" t="str">
        <f>IF(OR('Asset Class Tables and Dropdown'!A112 &lt;&gt; "Real Estate", 'Asset Class Tables and Dropdown'!A112 &lt;&gt; "Name", 'Asset Class Tables and Dropdown'!A112 &lt;&gt; "Private Lending", 'Asset Class Tables and Dropdown'!A112 &lt;&gt; "Private Equity", 'Asset Class Tables and Dropdown'!A112 &lt;&gt; "Natural Resources", 'Asset Class Tables and Dropdown'!A112 &lt;&gt; "Absolute Return", 'Asset Class Tables and Dropdown'!A112 &lt;&gt; "Fixed Income", 'Asset Class Tables and Dropdown'!A112 &lt;&gt; "Public Equity", 'Asset Class Tables and Dropdown'!A112 &lt;&gt; ""), 'Asset Class Tables and Dropdown'!A112, "")</f>
        <v>First Trust S&amp;P Barrier Note</v>
      </c>
      <c r="C133" t="s">
        <v>460</v>
      </c>
      <c r="D133" s="182">
        <f>SUMIF('Investment Proposal Inputs'!$M$29:$M$201, Investment_Proposal_Calculations[[#This Row],[Ticker **Must Match Investment Proposal Inputs**]], 'Investment Proposal Inputs'!$N$29:$N$201)</f>
        <v>0</v>
      </c>
      <c r="E133"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34" spans="2:5">
      <c r="B134" t="str">
        <f>IF(OR('Asset Class Tables and Dropdown'!A113 &lt;&gt; "Real Estate", 'Asset Class Tables and Dropdown'!A113 &lt;&gt; "Name", 'Asset Class Tables and Dropdown'!A113 &lt;&gt; "Private Lending", 'Asset Class Tables and Dropdown'!A113 &lt;&gt; "Private Equity", 'Asset Class Tables and Dropdown'!A113 &lt;&gt; "Natural Resources", 'Asset Class Tables and Dropdown'!A113 &lt;&gt; "Absolute Return", 'Asset Class Tables and Dropdown'!A113 &lt;&gt; "Fixed Income", 'Asset Class Tables and Dropdown'!A113 &lt;&gt; "Public Equity", 'Asset Class Tables and Dropdown'!A113 &lt;&gt; ""), 'Asset Class Tables and Dropdown'!A113, "")</f>
        <v>FT Cboe Vest S&amp;P 500 Dividend Aristocrats Target Income ETF</v>
      </c>
      <c r="C134" t="s">
        <v>222</v>
      </c>
      <c r="D134" s="182">
        <f>SUMIF('Investment Proposal Inputs'!$M$29:$M$201, Investment_Proposal_Calculations[[#This Row],[Ticker **Must Match Investment Proposal Inputs**]], 'Investment Proposal Inputs'!$N$29:$N$201)</f>
        <v>0</v>
      </c>
      <c r="E134"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35" spans="2:5">
      <c r="B135" t="str">
        <f>IF(OR('Asset Class Tables and Dropdown'!A114 &lt;&gt; "Real Estate", 'Asset Class Tables and Dropdown'!A114 &lt;&gt; "Name", 'Asset Class Tables and Dropdown'!A114 &lt;&gt; "Private Lending", 'Asset Class Tables and Dropdown'!A114 &lt;&gt; "Private Equity", 'Asset Class Tables and Dropdown'!A114 &lt;&gt; "Natural Resources", 'Asset Class Tables and Dropdown'!A114 &lt;&gt; "Absolute Return", 'Asset Class Tables and Dropdown'!A114 &lt;&gt; "Fixed Income", 'Asset Class Tables and Dropdown'!A114 &lt;&gt; "Public Equity", 'Asset Class Tables and Dropdown'!A114 &lt;&gt; ""), 'Asset Class Tables and Dropdown'!A114, "")</f>
        <v>First Trust Rising Dividend Achievers</v>
      </c>
      <c r="C135" t="s">
        <v>243</v>
      </c>
      <c r="D135" s="182">
        <f>SUMIF('Investment Proposal Inputs'!$M$29:$M$201, Investment_Proposal_Calculations[[#This Row],[Ticker **Must Match Investment Proposal Inputs**]], 'Investment Proposal Inputs'!$N$29:$N$201)</f>
        <v>0</v>
      </c>
      <c r="E135"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36" spans="2:5">
      <c r="B136" t="str">
        <f>IF(OR('Asset Class Tables and Dropdown'!A115 &lt;&gt; "Real Estate", 'Asset Class Tables and Dropdown'!A115 &lt;&gt; "Name", 'Asset Class Tables and Dropdown'!A115 &lt;&gt; "Private Lending", 'Asset Class Tables and Dropdown'!A115 &lt;&gt; "Private Equity", 'Asset Class Tables and Dropdown'!A115 &lt;&gt; "Natural Resources", 'Asset Class Tables and Dropdown'!A115 &lt;&gt; "Absolute Return", 'Asset Class Tables and Dropdown'!A115 &lt;&gt; "Fixed Income", 'Asset Class Tables and Dropdown'!A115 &lt;&gt; "Public Equity", 'Asset Class Tables and Dropdown'!A115 &lt;&gt; ""), 'Asset Class Tables and Dropdown'!A115, "")</f>
        <v>Golub Capital BDC</v>
      </c>
      <c r="C136" t="s">
        <v>244</v>
      </c>
      <c r="D136" s="182">
        <f>SUMIF('Investment Proposal Inputs'!$M$29:$M$201, Investment_Proposal_Calculations[[#This Row],[Ticker **Must Match Investment Proposal Inputs**]], 'Investment Proposal Inputs'!$N$29:$N$201)</f>
        <v>0</v>
      </c>
      <c r="E136"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37" spans="2:5">
      <c r="B137" t="str">
        <f>IF(OR('Asset Class Tables and Dropdown'!A116 &lt;&gt; "Real Estate", 'Asset Class Tables and Dropdown'!A116 &lt;&gt; "Name", 'Asset Class Tables and Dropdown'!A116 &lt;&gt; "Private Lending", 'Asset Class Tables and Dropdown'!A116 &lt;&gt; "Private Equity", 'Asset Class Tables and Dropdown'!A116 &lt;&gt; "Natural Resources", 'Asset Class Tables and Dropdown'!A116 &lt;&gt; "Absolute Return", 'Asset Class Tables and Dropdown'!A116 &lt;&gt; "Fixed Income", 'Asset Class Tables and Dropdown'!A116 &lt;&gt; "Public Equity", 'Asset Class Tables and Dropdown'!A116 &lt;&gt; ""), 'Asset Class Tables and Dropdown'!A116, "")</f>
        <v>Henry James International Select</v>
      </c>
      <c r="C137" t="s">
        <v>461</v>
      </c>
      <c r="D137" s="182">
        <f>SUMIF('Investment Proposal Inputs'!$M$29:$M$201, Investment_Proposal_Calculations[[#This Row],[Ticker **Must Match Investment Proposal Inputs**]], 'Investment Proposal Inputs'!$N$29:$N$201)</f>
        <v>0</v>
      </c>
      <c r="E137"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38" spans="2:5">
      <c r="B138" t="str">
        <f>IF(OR('Asset Class Tables and Dropdown'!A117 &lt;&gt; "Real Estate", 'Asset Class Tables and Dropdown'!A117 &lt;&gt; "Name", 'Asset Class Tables and Dropdown'!A117 &lt;&gt; "Private Lending", 'Asset Class Tables and Dropdown'!A117 &lt;&gt; "Private Equity", 'Asset Class Tables and Dropdown'!A117 &lt;&gt; "Natural Resources", 'Asset Class Tables and Dropdown'!A117 &lt;&gt; "Absolute Return", 'Asset Class Tables and Dropdown'!A117 &lt;&gt; "Fixed Income", 'Asset Class Tables and Dropdown'!A117 &lt;&gt; "Public Equity", 'Asset Class Tables and Dropdown'!A117 &lt;&gt; ""), 'Asset Class Tables and Dropdown'!A117, "")</f>
        <v>Hilton</v>
      </c>
      <c r="C138" t="s">
        <v>245</v>
      </c>
      <c r="D138" s="182">
        <f>SUMIF('Investment Proposal Inputs'!$M$29:$M$201, Investment_Proposal_Calculations[[#This Row],[Ticker **Must Match Investment Proposal Inputs**]], 'Investment Proposal Inputs'!$N$29:$N$201)</f>
        <v>0</v>
      </c>
      <c r="E138"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39" spans="2:5">
      <c r="B139" t="str">
        <f>IF(OR('Asset Class Tables and Dropdown'!A118 &lt;&gt; "Real Estate", 'Asset Class Tables and Dropdown'!A118 &lt;&gt; "Name", 'Asset Class Tables and Dropdown'!A118 &lt;&gt; "Private Lending", 'Asset Class Tables and Dropdown'!A118 &lt;&gt; "Private Equity", 'Asset Class Tables and Dropdown'!A118 &lt;&gt; "Natural Resources", 'Asset Class Tables and Dropdown'!A118 &lt;&gt; "Absolute Return", 'Asset Class Tables and Dropdown'!A118 &lt;&gt; "Fixed Income", 'Asset Class Tables and Dropdown'!A118 &lt;&gt; "Public Equity", 'Asset Class Tables and Dropdown'!A118 &lt;&gt; ""), 'Asset Class Tables and Dropdown'!A118, "")</f>
        <v>Hyatt</v>
      </c>
      <c r="C139" t="s">
        <v>246</v>
      </c>
      <c r="D139" s="182">
        <f>SUMIF('Investment Proposal Inputs'!$M$29:$M$201, Investment_Proposal_Calculations[[#This Row],[Ticker **Must Match Investment Proposal Inputs**]], 'Investment Proposal Inputs'!$N$29:$N$201)</f>
        <v>0</v>
      </c>
      <c r="E139"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40" spans="2:5">
      <c r="B140" t="str">
        <f>IF(OR('Asset Class Tables and Dropdown'!A119 &lt;&gt; "Real Estate", 'Asset Class Tables and Dropdown'!A119 &lt;&gt; "Name", 'Asset Class Tables and Dropdown'!A119 &lt;&gt; "Private Lending", 'Asset Class Tables and Dropdown'!A119 &lt;&gt; "Private Equity", 'Asset Class Tables and Dropdown'!A119 &lt;&gt; "Natural Resources", 'Asset Class Tables and Dropdown'!A119 &lt;&gt; "Absolute Return", 'Asset Class Tables and Dropdown'!A119 &lt;&gt; "Fixed Income", 'Asset Class Tables and Dropdown'!A119 &lt;&gt; "Public Equity", 'Asset Class Tables and Dropdown'!A119 &lt;&gt; ""), 'Asset Class Tables and Dropdown'!A119, "")</f>
        <v>International Developed</v>
      </c>
      <c r="C140" t="s">
        <v>725</v>
      </c>
      <c r="D140" s="182">
        <f>SUMIF('Investment Proposal Inputs'!$M$29:$M$201, Investment_Proposal_Calculations[[#This Row],[Ticker **Must Match Investment Proposal Inputs**]], 'Investment Proposal Inputs'!$N$29:$N$201)</f>
        <v>0</v>
      </c>
      <c r="E140"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41" spans="2:5">
      <c r="B141" t="str">
        <f>IF(OR('Asset Class Tables and Dropdown'!A120 &lt;&gt; "Real Estate", 'Asset Class Tables and Dropdown'!A120 &lt;&gt; "Name", 'Asset Class Tables and Dropdown'!A120 &lt;&gt; "Private Lending", 'Asset Class Tables and Dropdown'!A120 &lt;&gt; "Private Equity", 'Asset Class Tables and Dropdown'!A120 &lt;&gt; "Natural Resources", 'Asset Class Tables and Dropdown'!A120 &lt;&gt; "Absolute Return", 'Asset Class Tables and Dropdown'!A120 &lt;&gt; "Fixed Income", 'Asset Class Tables and Dropdown'!A120 &lt;&gt; "Public Equity", 'Asset Class Tables and Dropdown'!A120 &lt;&gt; ""), 'Asset Class Tables and Dropdown'!A120, "")</f>
        <v xml:space="preserve">International Emerging </v>
      </c>
      <c r="C141" t="s">
        <v>465</v>
      </c>
      <c r="D141" s="182">
        <f>SUMIF('Investment Proposal Inputs'!$M$29:$M$201, Investment_Proposal_Calculations[[#This Row],[Ticker **Must Match Investment Proposal Inputs**]], 'Investment Proposal Inputs'!$N$29:$N$201)</f>
        <v>0</v>
      </c>
      <c r="E141"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42" spans="2:5">
      <c r="B142" t="str">
        <f>IF(OR('Asset Class Tables and Dropdown'!A121 &lt;&gt; "Real Estate", 'Asset Class Tables and Dropdown'!A121 &lt;&gt; "Name", 'Asset Class Tables and Dropdown'!A121 &lt;&gt; "Private Lending", 'Asset Class Tables and Dropdown'!A121 &lt;&gt; "Private Equity", 'Asset Class Tables and Dropdown'!A121 &lt;&gt; "Natural Resources", 'Asset Class Tables and Dropdown'!A121 &lt;&gt; "Absolute Return", 'Asset Class Tables and Dropdown'!A121 &lt;&gt; "Fixed Income", 'Asset Class Tables and Dropdown'!A121 &lt;&gt; "Public Equity", 'Asset Class Tables and Dropdown'!A121 &lt;&gt; ""), 'Asset Class Tables and Dropdown'!A121, "")</f>
        <v>Invesco Oppenheimer Global Opportunities</v>
      </c>
      <c r="C142" t="s">
        <v>248</v>
      </c>
      <c r="D142" s="182">
        <f>SUMIF('Investment Proposal Inputs'!$M$29:$M$201, Investment_Proposal_Calculations[[#This Row],[Ticker **Must Match Investment Proposal Inputs**]], 'Investment Proposal Inputs'!$N$29:$N$201)</f>
        <v>0</v>
      </c>
      <c r="E142"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43" spans="2:5">
      <c r="B143" t="str">
        <f>IF(OR('Asset Class Tables and Dropdown'!A122 &lt;&gt; "Real Estate", 'Asset Class Tables and Dropdown'!A122 &lt;&gt; "Name", 'Asset Class Tables and Dropdown'!A122 &lt;&gt; "Private Lending", 'Asset Class Tables and Dropdown'!A122 &lt;&gt; "Private Equity", 'Asset Class Tables and Dropdown'!A122 &lt;&gt; "Natural Resources", 'Asset Class Tables and Dropdown'!A122 &lt;&gt; "Absolute Return", 'Asset Class Tables and Dropdown'!A122 &lt;&gt; "Fixed Income", 'Asset Class Tables and Dropdown'!A122 &lt;&gt; "Public Equity", 'Asset Class Tables and Dropdown'!A122 &lt;&gt; ""), 'Asset Class Tables and Dropdown'!A122, "")</f>
        <v>JHancock Disciplined Value Mid Cap</v>
      </c>
      <c r="C143" t="s">
        <v>247</v>
      </c>
      <c r="D143" s="182">
        <f>SUMIF('Investment Proposal Inputs'!$M$29:$M$201, Investment_Proposal_Calculations[[#This Row],[Ticker **Must Match Investment Proposal Inputs**]], 'Investment Proposal Inputs'!$N$29:$N$201)</f>
        <v>0</v>
      </c>
      <c r="E143"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44" spans="2:5">
      <c r="B144" t="str">
        <f>IF(OR('Asset Class Tables and Dropdown'!A123 &lt;&gt; "Real Estate", 'Asset Class Tables and Dropdown'!A123 &lt;&gt; "Name", 'Asset Class Tables and Dropdown'!A123 &lt;&gt; "Private Lending", 'Asset Class Tables and Dropdown'!A123 &lt;&gt; "Private Equity", 'Asset Class Tables and Dropdown'!A123 &lt;&gt; "Natural Resources", 'Asset Class Tables and Dropdown'!A123 &lt;&gt; "Absolute Return", 'Asset Class Tables and Dropdown'!A123 &lt;&gt; "Fixed Income", 'Asset Class Tables and Dropdown'!A123 &lt;&gt; "Public Equity", 'Asset Class Tables and Dropdown'!A123 &lt;&gt; ""), 'Asset Class Tables and Dropdown'!A123, "")</f>
        <v>JP Morgan</v>
      </c>
      <c r="C144" t="s">
        <v>249</v>
      </c>
      <c r="D144" s="182">
        <f>SUMIF('Investment Proposal Inputs'!$M$29:$M$201, Investment_Proposal_Calculations[[#This Row],[Ticker **Must Match Investment Proposal Inputs**]], 'Investment Proposal Inputs'!$N$29:$N$201)</f>
        <v>0</v>
      </c>
      <c r="E144"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45" spans="2:5">
      <c r="B145" t="str">
        <f>IF(OR('Asset Class Tables and Dropdown'!A124 &lt;&gt; "Real Estate", 'Asset Class Tables and Dropdown'!A124 &lt;&gt; "Name", 'Asset Class Tables and Dropdown'!A124 &lt;&gt; "Private Lending", 'Asset Class Tables and Dropdown'!A124 &lt;&gt; "Private Equity", 'Asset Class Tables and Dropdown'!A124 &lt;&gt; "Natural Resources", 'Asset Class Tables and Dropdown'!A124 &lt;&gt; "Absolute Return", 'Asset Class Tables and Dropdown'!A124 &lt;&gt; "Fixed Income", 'Asset Class Tables and Dropdown'!A124 &lt;&gt; "Public Equity", 'Asset Class Tables and Dropdown'!A124 &lt;&gt; ""), 'Asset Class Tables and Dropdown'!A124, "")</f>
        <v>JPMorgan Equity Premium Income Fund</v>
      </c>
      <c r="C145" t="s">
        <v>250</v>
      </c>
      <c r="D145" s="182">
        <f>SUMIF('Investment Proposal Inputs'!$M$29:$M$201, Investment_Proposal_Calculations[[#This Row],[Ticker **Must Match Investment Proposal Inputs**]], 'Investment Proposal Inputs'!$N$29:$N$201)</f>
        <v>0</v>
      </c>
      <c r="E145"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46" spans="2:5">
      <c r="B146" t="str">
        <f>IF(OR('Asset Class Tables and Dropdown'!A125 &lt;&gt; "Real Estate", 'Asset Class Tables and Dropdown'!A125 &lt;&gt; "Name", 'Asset Class Tables and Dropdown'!A125 &lt;&gt; "Private Lending", 'Asset Class Tables and Dropdown'!A125 &lt;&gt; "Private Equity", 'Asset Class Tables and Dropdown'!A125 &lt;&gt; "Natural Resources", 'Asset Class Tables and Dropdown'!A125 &lt;&gt; "Absolute Return", 'Asset Class Tables and Dropdown'!A125 &lt;&gt; "Fixed Income", 'Asset Class Tables and Dropdown'!A125 &lt;&gt; "Public Equity", 'Asset Class Tables and Dropdown'!A125 &lt;&gt; ""), 'Asset Class Tables and Dropdown'!A125, "")</f>
        <v>JP Morgan Mid Cap Growth</v>
      </c>
      <c r="C146" t="s">
        <v>251</v>
      </c>
      <c r="D146" s="182">
        <f>SUMIF('Investment Proposal Inputs'!$M$29:$M$201, Investment_Proposal_Calculations[[#This Row],[Ticker **Must Match Investment Proposal Inputs**]], 'Investment Proposal Inputs'!$N$29:$N$201)</f>
        <v>0</v>
      </c>
      <c r="E146"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47" spans="2:5">
      <c r="B147" t="str">
        <f>IF(OR('Asset Class Tables and Dropdown'!A126 &lt;&gt; "Real Estate", 'Asset Class Tables and Dropdown'!A126 &lt;&gt; "Name", 'Asset Class Tables and Dropdown'!A126 &lt;&gt; "Private Lending", 'Asset Class Tables and Dropdown'!A126 &lt;&gt; "Private Equity", 'Asset Class Tables and Dropdown'!A126 &lt;&gt; "Natural Resources", 'Asset Class Tables and Dropdown'!A126 &lt;&gt; "Absolute Return", 'Asset Class Tables and Dropdown'!A126 &lt;&gt; "Fixed Income", 'Asset Class Tables and Dropdown'!A126 &lt;&gt; "Public Equity", 'Asset Class Tables and Dropdown'!A126 &lt;&gt; ""), 'Asset Class Tables and Dropdown'!A126, "")</f>
        <v>Main Street Capital Corporation</v>
      </c>
      <c r="C147" t="s">
        <v>252</v>
      </c>
      <c r="D147" s="182">
        <f>SUMIF('Investment Proposal Inputs'!$M$29:$M$201, Investment_Proposal_Calculations[[#This Row],[Ticker **Must Match Investment Proposal Inputs**]], 'Investment Proposal Inputs'!$N$29:$N$201)</f>
        <v>0</v>
      </c>
      <c r="E147"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48" spans="2:5">
      <c r="B148" t="str">
        <f>IF(OR('Asset Class Tables and Dropdown'!A127 &lt;&gt; "Real Estate", 'Asset Class Tables and Dropdown'!A127 &lt;&gt; "Name", 'Asset Class Tables and Dropdown'!A127 &lt;&gt; "Private Lending", 'Asset Class Tables and Dropdown'!A127 &lt;&gt; "Private Equity", 'Asset Class Tables and Dropdown'!A127 &lt;&gt; "Natural Resources", 'Asset Class Tables and Dropdown'!A127 &lt;&gt; "Absolute Return", 'Asset Class Tables and Dropdown'!A127 &lt;&gt; "Fixed Income", 'Asset Class Tables and Dropdown'!A127 &lt;&gt; "Public Equity", 'Asset Class Tables and Dropdown'!A127 &lt;&gt; ""), 'Asset Class Tables and Dropdown'!A127, "")</f>
        <v>Marriott</v>
      </c>
      <c r="C148" t="s">
        <v>253</v>
      </c>
      <c r="D148" s="182">
        <f>SUMIF('Investment Proposal Inputs'!$M$29:$M$201, Investment_Proposal_Calculations[[#This Row],[Ticker **Must Match Investment Proposal Inputs**]], 'Investment Proposal Inputs'!$N$29:$N$201)</f>
        <v>0</v>
      </c>
      <c r="E148"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49" spans="2:5">
      <c r="B149" t="str">
        <f>IF(OR('Asset Class Tables and Dropdown'!A128 &lt;&gt; "Real Estate", 'Asset Class Tables and Dropdown'!A128 &lt;&gt; "Name", 'Asset Class Tables and Dropdown'!A128 &lt;&gt; "Private Lending", 'Asset Class Tables and Dropdown'!A128 &lt;&gt; "Private Equity", 'Asset Class Tables and Dropdown'!A128 &lt;&gt; "Natural Resources", 'Asset Class Tables and Dropdown'!A128 &lt;&gt; "Absolute Return", 'Asset Class Tables and Dropdown'!A128 &lt;&gt; "Fixed Income", 'Asset Class Tables and Dropdown'!A128 &lt;&gt; "Public Equity", 'Asset Class Tables and Dropdown'!A128 &lt;&gt; ""), 'Asset Class Tables and Dropdown'!A128, "")</f>
        <v>MidCap Financial Investment Corp</v>
      </c>
      <c r="C149" t="s">
        <v>254</v>
      </c>
      <c r="D149" s="182">
        <f>SUMIF('Investment Proposal Inputs'!$M$29:$M$201, Investment_Proposal_Calculations[[#This Row],[Ticker **Must Match Investment Proposal Inputs**]], 'Investment Proposal Inputs'!$N$29:$N$201)</f>
        <v>0</v>
      </c>
      <c r="E149"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50" spans="2:5">
      <c r="B150" t="str">
        <f>IF(OR('Asset Class Tables and Dropdown'!A129 &lt;&gt; "Real Estate", 'Asset Class Tables and Dropdown'!A129 &lt;&gt; "Name", 'Asset Class Tables and Dropdown'!A129 &lt;&gt; "Private Lending", 'Asset Class Tables and Dropdown'!A129 &lt;&gt; "Private Equity", 'Asset Class Tables and Dropdown'!A129 &lt;&gt; "Natural Resources", 'Asset Class Tables and Dropdown'!A129 &lt;&gt; "Absolute Return", 'Asset Class Tables and Dropdown'!A129 &lt;&gt; "Fixed Income", 'Asset Class Tables and Dropdown'!A129 &lt;&gt; "Public Equity", 'Asset Class Tables and Dropdown'!A129 &lt;&gt; ""), 'Asset Class Tables and Dropdown'!A129, "")</f>
        <v>Needham Small Cap Growth</v>
      </c>
      <c r="C150" t="s">
        <v>255</v>
      </c>
      <c r="D150" s="182">
        <f>SUMIF('Investment Proposal Inputs'!$M$29:$M$201, Investment_Proposal_Calculations[[#This Row],[Ticker **Must Match Investment Proposal Inputs**]], 'Investment Proposal Inputs'!$N$29:$N$201)</f>
        <v>0</v>
      </c>
      <c r="E150"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51" spans="2:5">
      <c r="B151" t="str">
        <f>IF(OR('Asset Class Tables and Dropdown'!A130 &lt;&gt; "Real Estate", 'Asset Class Tables and Dropdown'!A130 &lt;&gt; "Name", 'Asset Class Tables and Dropdown'!A130 &lt;&gt; "Private Lending", 'Asset Class Tables and Dropdown'!A130 &lt;&gt; "Private Equity", 'Asset Class Tables and Dropdown'!A130 &lt;&gt; "Natural Resources", 'Asset Class Tables and Dropdown'!A130 &lt;&gt; "Absolute Return", 'Asset Class Tables and Dropdown'!A130 &lt;&gt; "Fixed Income", 'Asset Class Tables and Dropdown'!A130 &lt;&gt; "Public Equity", 'Asset Class Tables and Dropdown'!A130 &lt;&gt; ""), 'Asset Class Tables and Dropdown'!A130, "")</f>
        <v>Norwegian Cruise Line</v>
      </c>
      <c r="C151" t="s">
        <v>256</v>
      </c>
      <c r="D151" s="182">
        <f>SUMIF('Investment Proposal Inputs'!$M$29:$M$201, Investment_Proposal_Calculations[[#This Row],[Ticker **Must Match Investment Proposal Inputs**]], 'Investment Proposal Inputs'!$N$29:$N$201)</f>
        <v>0</v>
      </c>
      <c r="E151"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52" spans="2:5">
      <c r="B152" t="str">
        <f>IF(OR('Asset Class Tables and Dropdown'!A131 &lt;&gt; "Real Estate", 'Asset Class Tables and Dropdown'!A131 &lt;&gt; "Name", 'Asset Class Tables and Dropdown'!A131 &lt;&gt; "Private Lending", 'Asset Class Tables and Dropdown'!A131 &lt;&gt; "Private Equity", 'Asset Class Tables and Dropdown'!A131 &lt;&gt; "Natural Resources", 'Asset Class Tables and Dropdown'!A131 &lt;&gt; "Absolute Return", 'Asset Class Tables and Dropdown'!A131 &lt;&gt; "Fixed Income", 'Asset Class Tables and Dropdown'!A131 &lt;&gt; "Public Equity", 'Asset Class Tables and Dropdown'!A131 &lt;&gt; ""), 'Asset Class Tables and Dropdown'!A131, "")</f>
        <v>Owl Rock Capital Corp</v>
      </c>
      <c r="C152" t="s">
        <v>257</v>
      </c>
      <c r="D152" s="182">
        <f>SUMIF('Investment Proposal Inputs'!$M$29:$M$201, Investment_Proposal_Calculations[[#This Row],[Ticker **Must Match Investment Proposal Inputs**]], 'Investment Proposal Inputs'!$N$29:$N$201)</f>
        <v>0</v>
      </c>
      <c r="E152"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53" spans="2:5">
      <c r="B153" t="str">
        <f>IF(OR('Asset Class Tables and Dropdown'!A132 &lt;&gt; "Real Estate", 'Asset Class Tables and Dropdown'!A132 &lt;&gt; "Name", 'Asset Class Tables and Dropdown'!A132 &lt;&gt; "Private Lending", 'Asset Class Tables and Dropdown'!A132 &lt;&gt; "Private Equity", 'Asset Class Tables and Dropdown'!A132 &lt;&gt; "Natural Resources", 'Asset Class Tables and Dropdown'!A132 &lt;&gt; "Absolute Return", 'Asset Class Tables and Dropdown'!A132 &lt;&gt; "Fixed Income", 'Asset Class Tables and Dropdown'!A132 &lt;&gt; "Public Equity", 'Asset Class Tables and Dropdown'!A132 &lt;&gt; ""), 'Asset Class Tables and Dropdown'!A132, "")</f>
        <v>PGIM Jennison Global Opportunities</v>
      </c>
      <c r="C153" t="s">
        <v>258</v>
      </c>
      <c r="D153" s="182">
        <f>SUMIF('Investment Proposal Inputs'!$M$29:$M$201, Investment_Proposal_Calculations[[#This Row],[Ticker **Must Match Investment Proposal Inputs**]], 'Investment Proposal Inputs'!$N$29:$N$201)</f>
        <v>0</v>
      </c>
      <c r="E153"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54" spans="2:5">
      <c r="B154" t="str">
        <f>IF(OR('Asset Class Tables and Dropdown'!A133 &lt;&gt; "Real Estate", 'Asset Class Tables and Dropdown'!A133 &lt;&gt; "Name", 'Asset Class Tables and Dropdown'!A133 &lt;&gt; "Private Lending", 'Asset Class Tables and Dropdown'!A133 &lt;&gt; "Private Equity", 'Asset Class Tables and Dropdown'!A133 &lt;&gt; "Natural Resources", 'Asset Class Tables and Dropdown'!A133 &lt;&gt; "Absolute Return", 'Asset Class Tables and Dropdown'!A133 &lt;&gt; "Fixed Income", 'Asset Class Tables and Dropdown'!A133 &lt;&gt; "Public Equity", 'Asset Class Tables and Dropdown'!A133 &lt;&gt; ""), 'Asset Class Tables and Dropdown'!A133, "")</f>
        <v>PGIM Jennsion Emerging Markets Equities Opportunity</v>
      </c>
      <c r="C154" t="s">
        <v>259</v>
      </c>
      <c r="D154" s="182">
        <f>SUMIF('Investment Proposal Inputs'!$M$29:$M$201, Investment_Proposal_Calculations[[#This Row],[Ticker **Must Match Investment Proposal Inputs**]], 'Investment Proposal Inputs'!$N$29:$N$201)</f>
        <v>0</v>
      </c>
      <c r="E154"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55" spans="2:5">
      <c r="B155" t="str">
        <f>IF(OR('Asset Class Tables and Dropdown'!A134 &lt;&gt; "Real Estate", 'Asset Class Tables and Dropdown'!A134 &lt;&gt; "Name", 'Asset Class Tables and Dropdown'!A134 &lt;&gt; "Private Lending", 'Asset Class Tables and Dropdown'!A134 &lt;&gt; "Private Equity", 'Asset Class Tables and Dropdown'!A134 &lt;&gt; "Natural Resources", 'Asset Class Tables and Dropdown'!A134 &lt;&gt; "Absolute Return", 'Asset Class Tables and Dropdown'!A134 &lt;&gt; "Fixed Income", 'Asset Class Tables and Dropdown'!A134 &lt;&gt; "Public Equity", 'Asset Class Tables and Dropdown'!A134 &lt;&gt; ""), 'Asset Class Tables and Dropdown'!A134, "")</f>
        <v>Plymouth Industrial REIT</v>
      </c>
      <c r="C155" t="s">
        <v>260</v>
      </c>
      <c r="D155" s="182">
        <f>SUMIF('Investment Proposal Inputs'!$M$29:$M$201, Investment_Proposal_Calculations[[#This Row],[Ticker **Must Match Investment Proposal Inputs**]], 'Investment Proposal Inputs'!$N$29:$N$201)</f>
        <v>0</v>
      </c>
      <c r="E155"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56" spans="2:5">
      <c r="B156" t="str">
        <f>IF(OR('Asset Class Tables and Dropdown'!A135 &lt;&gt; "Real Estate", 'Asset Class Tables and Dropdown'!A135 &lt;&gt; "Name", 'Asset Class Tables and Dropdown'!A135 &lt;&gt; "Private Lending", 'Asset Class Tables and Dropdown'!A135 &lt;&gt; "Private Equity", 'Asset Class Tables and Dropdown'!A135 &lt;&gt; "Natural Resources", 'Asset Class Tables and Dropdown'!A135 &lt;&gt; "Absolute Return", 'Asset Class Tables and Dropdown'!A135 &lt;&gt; "Fixed Income", 'Asset Class Tables and Dropdown'!A135 &lt;&gt; "Public Equity", 'Asset Class Tables and Dropdown'!A135 &lt;&gt; ""), 'Asset Class Tables and Dropdown'!A135, "")</f>
        <v>Royal Caribbean Cruises</v>
      </c>
      <c r="C156" t="s">
        <v>261</v>
      </c>
      <c r="D156" s="182">
        <f>SUMIF('Investment Proposal Inputs'!$M$29:$M$201, Investment_Proposal_Calculations[[#This Row],[Ticker **Must Match Investment Proposal Inputs**]], 'Investment Proposal Inputs'!$N$29:$N$201)</f>
        <v>0</v>
      </c>
      <c r="E156"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57" spans="2:5">
      <c r="B157" t="str">
        <f>IF(OR('Asset Class Tables and Dropdown'!A136 &lt;&gt; "Real Estate", 'Asset Class Tables and Dropdown'!A136 &lt;&gt; "Name", 'Asset Class Tables and Dropdown'!A136 &lt;&gt; "Private Lending", 'Asset Class Tables and Dropdown'!A136 &lt;&gt; "Private Equity", 'Asset Class Tables and Dropdown'!A136 &lt;&gt; "Natural Resources", 'Asset Class Tables and Dropdown'!A136 &lt;&gt; "Absolute Return", 'Asset Class Tables and Dropdown'!A136 &lt;&gt; "Fixed Income", 'Asset Class Tables and Dropdown'!A136 &lt;&gt; "Public Equity", 'Asset Class Tables and Dropdown'!A136 &lt;&gt; ""), 'Asset Class Tables and Dropdown'!A136, "")</f>
        <v>Sixth Street Specialty Lending</v>
      </c>
      <c r="C157" t="s">
        <v>229</v>
      </c>
      <c r="D157" s="182">
        <f>SUMIF('Investment Proposal Inputs'!$M$29:$M$201, Investment_Proposal_Calculations[[#This Row],[Ticker **Must Match Investment Proposal Inputs**]], 'Investment Proposal Inputs'!$N$29:$N$201)</f>
        <v>0</v>
      </c>
      <c r="E157"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58" spans="2:5">
      <c r="B158" t="str">
        <f>IF(OR('Asset Class Tables and Dropdown'!A137 &lt;&gt; "Real Estate", 'Asset Class Tables and Dropdown'!A137 &lt;&gt; "Name", 'Asset Class Tables and Dropdown'!A137 &lt;&gt; "Private Lending", 'Asset Class Tables and Dropdown'!A137 &lt;&gt; "Private Equity", 'Asset Class Tables and Dropdown'!A137 &lt;&gt; "Natural Resources", 'Asset Class Tables and Dropdown'!A137 &lt;&gt; "Absolute Return", 'Asset Class Tables and Dropdown'!A137 &lt;&gt; "Fixed Income", 'Asset Class Tables and Dropdown'!A137 &lt;&gt; "Public Equity", 'Asset Class Tables and Dropdown'!A137 &lt;&gt; ""), 'Asset Class Tables and Dropdown'!A137, "")</f>
        <v>S&amp;P500 Structured Note - Growth</v>
      </c>
      <c r="C158" t="s">
        <v>262</v>
      </c>
      <c r="D158" s="182">
        <f>SUMIF('Investment Proposal Inputs'!$M$29:$M$201, Investment_Proposal_Calculations[[#This Row],[Ticker **Must Match Investment Proposal Inputs**]], 'Investment Proposal Inputs'!$N$29:$N$201)</f>
        <v>0</v>
      </c>
      <c r="E158"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59" spans="2:5">
      <c r="B159" t="str">
        <f>IF(OR('Asset Class Tables and Dropdown'!A138 &lt;&gt; "Real Estate", 'Asset Class Tables and Dropdown'!A138 &lt;&gt; "Name", 'Asset Class Tables and Dropdown'!A138 &lt;&gt; "Private Lending", 'Asset Class Tables and Dropdown'!A138 &lt;&gt; "Private Equity", 'Asset Class Tables and Dropdown'!A138 &lt;&gt; "Natural Resources", 'Asset Class Tables and Dropdown'!A138 &lt;&gt; "Absolute Return", 'Asset Class Tables and Dropdown'!A138 &lt;&gt; "Fixed Income", 'Asset Class Tables and Dropdown'!A138 &lt;&gt; "Public Equity", 'Asset Class Tables and Dropdown'!A138 &lt;&gt; ""), 'Asset Class Tables and Dropdown'!A138, "")</f>
        <v>Southwest Airlines</v>
      </c>
      <c r="C159" t="s">
        <v>263</v>
      </c>
      <c r="D159" s="182">
        <f>SUMIF('Investment Proposal Inputs'!$M$29:$M$201, Investment_Proposal_Calculations[[#This Row],[Ticker **Must Match Investment Proposal Inputs**]], 'Investment Proposal Inputs'!$N$29:$N$201)</f>
        <v>0</v>
      </c>
      <c r="E159"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60" spans="2:5">
      <c r="B160" t="str">
        <f>IF(OR('Asset Class Tables and Dropdown'!A139 &lt;&gt; "Real Estate", 'Asset Class Tables and Dropdown'!A139 &lt;&gt; "Name", 'Asset Class Tables and Dropdown'!A139 &lt;&gt; "Private Lending", 'Asset Class Tables and Dropdown'!A139 &lt;&gt; "Private Equity", 'Asset Class Tables and Dropdown'!A139 &lt;&gt; "Natural Resources", 'Asset Class Tables and Dropdown'!A139 &lt;&gt; "Absolute Return", 'Asset Class Tables and Dropdown'!A139 &lt;&gt; "Fixed Income", 'Asset Class Tables and Dropdown'!A139 &lt;&gt; "Public Equity", 'Asset Class Tables and Dropdown'!A139 &lt;&gt; ""), 'Asset Class Tables and Dropdown'!A139, "")</f>
        <v xml:space="preserve">Taiwan Semiconductor </v>
      </c>
      <c r="C160" t="s">
        <v>264</v>
      </c>
      <c r="D160" s="182">
        <f>SUMIF('Investment Proposal Inputs'!$M$29:$M$201, Investment_Proposal_Calculations[[#This Row],[Ticker **Must Match Investment Proposal Inputs**]], 'Investment Proposal Inputs'!$N$29:$N$201)</f>
        <v>0</v>
      </c>
      <c r="E160"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61" spans="2:5">
      <c r="B161" t="str">
        <f>IF(OR('Asset Class Tables and Dropdown'!A140 &lt;&gt; "Real Estate", 'Asset Class Tables and Dropdown'!A140 &lt;&gt; "Name", 'Asset Class Tables and Dropdown'!A140 &lt;&gt; "Private Lending", 'Asset Class Tables and Dropdown'!A140 &lt;&gt; "Private Equity", 'Asset Class Tables and Dropdown'!A140 &lt;&gt; "Natural Resources", 'Asset Class Tables and Dropdown'!A140 &lt;&gt; "Absolute Return", 'Asset Class Tables and Dropdown'!A140 &lt;&gt; "Fixed Income", 'Asset Class Tables and Dropdown'!A140 &lt;&gt; "Public Equity", 'Asset Class Tables and Dropdown'!A140 &lt;&gt; ""), 'Asset Class Tables and Dropdown'!A140, "")</f>
        <v>Undiscovered Managers Behavioral Value</v>
      </c>
      <c r="C161" t="s">
        <v>265</v>
      </c>
      <c r="D161" s="182">
        <f>SUMIF('Investment Proposal Inputs'!$M$29:$M$201, Investment_Proposal_Calculations[[#This Row],[Ticker **Must Match Investment Proposal Inputs**]], 'Investment Proposal Inputs'!$N$29:$N$201)</f>
        <v>0</v>
      </c>
      <c r="E161"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row r="162" spans="2:5">
      <c r="B162" t="str">
        <f>IF(OR('Asset Class Tables and Dropdown'!A141 &lt;&gt; "Real Estate", 'Asset Class Tables and Dropdown'!A141 &lt;&gt; "Name", 'Asset Class Tables and Dropdown'!A141 &lt;&gt; "Private Lending", 'Asset Class Tables and Dropdown'!A141 &lt;&gt; "Private Equity", 'Asset Class Tables and Dropdown'!A141 &lt;&gt; "Natural Resources", 'Asset Class Tables and Dropdown'!A141 &lt;&gt; "Absolute Return", 'Asset Class Tables and Dropdown'!A141 &lt;&gt; "Fixed Income", 'Asset Class Tables and Dropdown'!A141 &lt;&gt; "Public Equity", 'Asset Class Tables and Dropdown'!A141 &lt;&gt; ""), 'Asset Class Tables and Dropdown'!A141, "")</f>
        <v>Zscaler Inc</v>
      </c>
      <c r="C162" t="s">
        <v>109</v>
      </c>
      <c r="D162" s="182">
        <f>SUMIF('Investment Proposal Inputs'!$M$29:$M$201, Investment_Proposal_Calculations[[#This Row],[Ticker **Must Match Investment Proposal Inputs**]], 'Investment Proposal Inputs'!$N$29:$N$201)</f>
        <v>0</v>
      </c>
      <c r="E162" s="257">
        <f>IF(Investment_Proposal_Calculations[[#This Row],[ACT &amp; D Name]] = $B$5, 0, IF(Investment_Proposal_Calculations[[#This Row],[ACT &amp; D Name]] = $B$6, 0, IF(Investment_Proposal_Calculations[[#This Row],[ACT &amp; D Name]] = $B$7, 0, IF(Investment_Proposal_Calculations[[#This Row],[ACT &amp; D Name]] = $B$8, 0, IF(Investment_Proposal_Calculations[[#This Row],[ACT &amp; D Name]] = $B$9, 0, IF(Investment_Proposal_Calculations[[#This Row],[ACT &amp; D Name]] = $B$10, 0, IF(Investment_Proposal_Calculations[[#This Row],[ACT &amp; D Name]] = $B$11, 0, IF(Investment_Proposal_Calculations[[#This Row],[ACT &amp; D Name]] = $B$12, 0, IF(Investment_Proposal_Calculations[[#This Row],[ACT &amp; D Name]] = $B$13, 0, 1)))))))))</f>
        <v>1</v>
      </c>
    </row>
  </sheetData>
  <mergeCells count="7">
    <mergeCell ref="B51:C51"/>
    <mergeCell ref="B46:C46"/>
    <mergeCell ref="E3:F3"/>
    <mergeCell ref="B25:C25"/>
    <mergeCell ref="B26:C26"/>
    <mergeCell ref="B27:C27"/>
    <mergeCell ref="B28:C28"/>
  </mergeCells>
  <conditionalFormatting sqref="C70:C162">
    <cfRule type="duplicateValues" dxfId="140" priority="1"/>
  </conditionalFormatting>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Sheet10.DeleteRowsWithValueZero">
                <anchor moveWithCells="1" sizeWithCells="1">
                  <from>
                    <xdr:col>2</xdr:col>
                    <xdr:colOff>4114800</xdr:colOff>
                    <xdr:row>66</xdr:row>
                    <xdr:rowOff>63500</xdr:rowOff>
                  </from>
                  <to>
                    <xdr:col>4</xdr:col>
                    <xdr:colOff>558800</xdr:colOff>
                    <xdr:row>67</xdr:row>
                    <xdr:rowOff>266700</xdr:rowOff>
                  </to>
                </anchor>
              </controlPr>
            </control>
          </mc:Choice>
        </mc:AlternateContent>
      </controls>
    </mc:Choice>
  </mc:AlternateContent>
  <tableParts count="6">
    <tablePart r:id="rId4"/>
    <tablePart r:id="rId5"/>
    <tablePart r:id="rId6"/>
    <tablePart r:id="rId7"/>
    <tablePart r:id="rId8"/>
    <tablePart r:id="rId9"/>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F9E4E-9D5F-E448-B172-C431CB893056}">
  <sheetPr codeName="Sheet17">
    <tabColor theme="3"/>
  </sheetPr>
  <dimension ref="B3:F197"/>
  <sheetViews>
    <sheetView showGridLines="0" topLeftCell="A31" zoomScale="90" zoomScaleNormal="100" workbookViewId="0">
      <selection activeCell="C50" sqref="C50"/>
    </sheetView>
  </sheetViews>
  <sheetFormatPr baseColWidth="10" defaultColWidth="11" defaultRowHeight="15"/>
  <cols>
    <col min="2" max="2" width="43.1640625" bestFit="1" customWidth="1"/>
    <col min="3" max="3" width="56" bestFit="1" customWidth="1"/>
    <col min="4" max="4" width="20.33203125" bestFit="1" customWidth="1"/>
    <col min="5" max="5" width="48.6640625" style="1" bestFit="1" customWidth="1"/>
    <col min="7" max="7" width="49.1640625" bestFit="1" customWidth="1"/>
    <col min="8" max="8" width="57.33203125" bestFit="1" customWidth="1"/>
    <col min="9" max="9" width="42.5" bestFit="1" customWidth="1"/>
    <col min="10" max="10" width="35.83203125" bestFit="1" customWidth="1"/>
  </cols>
  <sheetData>
    <row r="3" spans="2:6" ht="29">
      <c r="B3" s="184" t="s">
        <v>137</v>
      </c>
      <c r="E3" s="361" t="s">
        <v>138</v>
      </c>
      <c r="F3" s="361"/>
    </row>
    <row r="4" spans="2:6" ht="19">
      <c r="B4" s="256" t="s">
        <v>114</v>
      </c>
      <c r="E4" s="186" t="s">
        <v>139</v>
      </c>
    </row>
    <row r="5" spans="2:6">
      <c r="B5" t="s">
        <v>106</v>
      </c>
      <c r="E5" t="s">
        <v>140</v>
      </c>
    </row>
    <row r="6" spans="2:6">
      <c r="B6" t="s">
        <v>132</v>
      </c>
      <c r="E6" t="s">
        <v>141</v>
      </c>
    </row>
    <row r="7" spans="2:6">
      <c r="B7" t="s">
        <v>142</v>
      </c>
      <c r="E7" t="s">
        <v>143</v>
      </c>
    </row>
    <row r="8" spans="2:6">
      <c r="B8" t="s">
        <v>144</v>
      </c>
      <c r="E8" t="s">
        <v>145</v>
      </c>
    </row>
    <row r="9" spans="2:6">
      <c r="B9" t="s">
        <v>146</v>
      </c>
      <c r="E9" t="s">
        <v>147</v>
      </c>
    </row>
    <row r="10" spans="2:6">
      <c r="B10" t="s">
        <v>148</v>
      </c>
      <c r="E10" t="s">
        <v>149</v>
      </c>
    </row>
    <row r="11" spans="2:6">
      <c r="B11" t="s">
        <v>150</v>
      </c>
      <c r="E11" t="s">
        <v>151</v>
      </c>
    </row>
    <row r="12" spans="2:6">
      <c r="B12" t="s">
        <v>152</v>
      </c>
      <c r="E12" t="s">
        <v>153</v>
      </c>
    </row>
    <row r="13" spans="2:6">
      <c r="E13" t="s">
        <v>69</v>
      </c>
    </row>
    <row r="14" spans="2:6">
      <c r="E14" t="s">
        <v>154</v>
      </c>
    </row>
    <row r="15" spans="2:6" ht="29">
      <c r="B15" s="184" t="s">
        <v>155</v>
      </c>
      <c r="E15" t="s">
        <v>156</v>
      </c>
    </row>
    <row r="16" spans="2:6" ht="19">
      <c r="B16" s="183" t="s">
        <v>157</v>
      </c>
      <c r="C16" s="183" t="s">
        <v>158</v>
      </c>
      <c r="E16" t="s">
        <v>159</v>
      </c>
    </row>
    <row r="17" spans="2:5">
      <c r="B17" t="s">
        <v>71</v>
      </c>
      <c r="C17" t="s">
        <v>52</v>
      </c>
      <c r="E17" t="s">
        <v>160</v>
      </c>
    </row>
    <row r="18" spans="2:5">
      <c r="B18" t="s">
        <v>161</v>
      </c>
      <c r="C18" t="s">
        <v>162</v>
      </c>
      <c r="E18" t="s">
        <v>163</v>
      </c>
    </row>
    <row r="19" spans="2:5">
      <c r="B19" t="s">
        <v>164</v>
      </c>
      <c r="C19" t="s">
        <v>165</v>
      </c>
      <c r="E19" t="s">
        <v>166</v>
      </c>
    </row>
    <row r="20" spans="2:5">
      <c r="B20" t="s">
        <v>167</v>
      </c>
      <c r="C20" t="s">
        <v>168</v>
      </c>
      <c r="E20" t="s">
        <v>169</v>
      </c>
    </row>
    <row r="21" spans="2:5">
      <c r="B21" t="s">
        <v>170</v>
      </c>
      <c r="C21" t="s">
        <v>171</v>
      </c>
      <c r="E21" t="s">
        <v>172</v>
      </c>
    </row>
    <row r="22" spans="2:5">
      <c r="B22" t="s">
        <v>173</v>
      </c>
      <c r="C22" t="s">
        <v>52</v>
      </c>
      <c r="E22" t="s">
        <v>174</v>
      </c>
    </row>
    <row r="23" spans="2:5">
      <c r="B23" t="s">
        <v>175</v>
      </c>
      <c r="C23" t="s">
        <v>52</v>
      </c>
      <c r="E23" t="s">
        <v>176</v>
      </c>
    </row>
    <row r="24" spans="2:5">
      <c r="E24"/>
    </row>
    <row r="25" spans="2:5" ht="29">
      <c r="B25" s="361" t="s">
        <v>177</v>
      </c>
      <c r="C25" s="361"/>
      <c r="E25"/>
    </row>
    <row r="26" spans="2:5">
      <c r="B26" s="362" t="s">
        <v>178</v>
      </c>
      <c r="C26" s="362"/>
      <c r="E26"/>
    </row>
    <row r="27" spans="2:5">
      <c r="B27" s="362" t="s">
        <v>179</v>
      </c>
      <c r="C27" s="362"/>
      <c r="E27"/>
    </row>
    <row r="28" spans="2:5">
      <c r="B28" s="363" t="s">
        <v>180</v>
      </c>
      <c r="C28" s="363"/>
      <c r="E28"/>
    </row>
    <row r="29" spans="2:5" ht="19">
      <c r="B29" s="186" t="s">
        <v>74</v>
      </c>
      <c r="C29" s="236" t="s">
        <v>181</v>
      </c>
      <c r="D29" s="186" t="s">
        <v>182</v>
      </c>
      <c r="E29" s="186" t="s">
        <v>183</v>
      </c>
    </row>
    <row r="30" spans="2:5">
      <c r="B30" s="235" t="s">
        <v>184</v>
      </c>
      <c r="C30" s="237">
        <v>0</v>
      </c>
      <c r="D30" s="237">
        <v>0.05</v>
      </c>
      <c r="E30" s="238">
        <v>0.1</v>
      </c>
    </row>
    <row r="31" spans="2:5">
      <c r="B31" s="235" t="s">
        <v>185</v>
      </c>
      <c r="C31" s="239">
        <v>0.1</v>
      </c>
      <c r="D31" s="239">
        <v>0.15</v>
      </c>
      <c r="E31" s="238">
        <v>0.2</v>
      </c>
    </row>
    <row r="32" spans="2:5">
      <c r="B32" s="235" t="s">
        <v>186</v>
      </c>
      <c r="C32" s="239">
        <v>0.2</v>
      </c>
      <c r="D32" s="239">
        <v>0.25</v>
      </c>
      <c r="E32" s="238">
        <v>0.3</v>
      </c>
    </row>
    <row r="33" spans="2:5">
      <c r="B33" s="235" t="s">
        <v>108</v>
      </c>
      <c r="C33" s="239">
        <v>0.25</v>
      </c>
      <c r="D33" s="239">
        <v>0.3</v>
      </c>
      <c r="E33" s="238">
        <v>0.35</v>
      </c>
    </row>
    <row r="34" spans="2:5">
      <c r="B34" s="235" t="s">
        <v>75</v>
      </c>
      <c r="C34" s="239">
        <v>0.3</v>
      </c>
      <c r="D34" s="239">
        <v>0.35</v>
      </c>
      <c r="E34" s="238">
        <v>0.35</v>
      </c>
    </row>
    <row r="35" spans="2:5">
      <c r="B35" s="235" t="s">
        <v>187</v>
      </c>
      <c r="C35" s="240">
        <v>0</v>
      </c>
      <c r="D35" s="240">
        <v>0</v>
      </c>
      <c r="E35" s="238">
        <v>0</v>
      </c>
    </row>
    <row r="36" spans="2:5">
      <c r="E36"/>
    </row>
    <row r="37" spans="2:5" ht="19">
      <c r="B37" s="186" t="s">
        <v>74</v>
      </c>
      <c r="C37" s="236" t="s">
        <v>188</v>
      </c>
      <c r="D37" s="186" t="s">
        <v>189</v>
      </c>
      <c r="E37" s="186" t="s">
        <v>190</v>
      </c>
    </row>
    <row r="38" spans="2:5">
      <c r="B38" s="235" t="s">
        <v>184</v>
      </c>
      <c r="C38" s="237">
        <v>0</v>
      </c>
      <c r="D38" s="237">
        <v>0</v>
      </c>
      <c r="E38" s="238">
        <v>0.05</v>
      </c>
    </row>
    <row r="39" spans="2:5">
      <c r="B39" s="235" t="s">
        <v>185</v>
      </c>
      <c r="C39" s="239">
        <v>0.05</v>
      </c>
      <c r="D39" s="239">
        <v>0.1</v>
      </c>
      <c r="E39" s="238">
        <v>0.12</v>
      </c>
    </row>
    <row r="40" spans="2:5">
      <c r="B40" s="235" t="s">
        <v>186</v>
      </c>
      <c r="C40" s="239">
        <v>0.1</v>
      </c>
      <c r="D40" s="239">
        <v>0.12</v>
      </c>
      <c r="E40" s="238">
        <v>0.15</v>
      </c>
    </row>
    <row r="41" spans="2:5">
      <c r="B41" s="235" t="s">
        <v>108</v>
      </c>
      <c r="C41" s="239">
        <v>0.15</v>
      </c>
      <c r="D41" s="239">
        <v>0.17</v>
      </c>
      <c r="E41" s="238">
        <v>0.2</v>
      </c>
    </row>
    <row r="42" spans="2:5">
      <c r="B42" s="235" t="s">
        <v>75</v>
      </c>
      <c r="C42" s="239">
        <v>0.15</v>
      </c>
      <c r="D42" s="239">
        <v>0.2</v>
      </c>
      <c r="E42" s="238">
        <v>0.25</v>
      </c>
    </row>
    <row r="43" spans="2:5">
      <c r="B43" s="235" t="s">
        <v>187</v>
      </c>
      <c r="C43" s="240">
        <v>0</v>
      </c>
      <c r="D43" s="240">
        <v>0</v>
      </c>
      <c r="E43" s="238">
        <v>0</v>
      </c>
    </row>
    <row r="44" spans="2:5">
      <c r="B44" s="234"/>
      <c r="C44" s="240"/>
      <c r="D44" s="240"/>
      <c r="E44" s="241"/>
    </row>
    <row r="45" spans="2:5">
      <c r="E45"/>
    </row>
    <row r="46" spans="2:5" ht="29">
      <c r="B46" s="361" t="s">
        <v>191</v>
      </c>
      <c r="C46" s="361"/>
      <c r="E46"/>
    </row>
    <row r="47" spans="2:5">
      <c r="E47"/>
    </row>
    <row r="55" spans="2:5" ht="29">
      <c r="B55" s="184" t="s">
        <v>193</v>
      </c>
    </row>
    <row r="56" spans="2:5" ht="19">
      <c r="B56" s="183" t="s">
        <v>132</v>
      </c>
      <c r="C56" s="183" t="s">
        <v>195</v>
      </c>
      <c r="D56" s="183" t="s">
        <v>196</v>
      </c>
      <c r="E56" s="258" t="s">
        <v>197</v>
      </c>
    </row>
    <row r="57" spans="2:5">
      <c r="B57" t="str">
        <f>'Asset Class Tables and Dropdown'!A1</f>
        <v>Real Estate</v>
      </c>
      <c r="D57" s="182">
        <f>SUMIF('Investment Proposal Inputs'!$M$29:$M$141, Investment_Proposal_Calculations51[[#This Row],[Ticker **Must Match Investment Proposal Inputs**]], 'Investment Proposal Inputs'!$N$29:$N$141)</f>
        <v>0</v>
      </c>
      <c r="E57"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58" spans="2:5">
      <c r="B58" t="str">
        <f>IF(OR('Asset Class Tables and Dropdown'!A2 &lt;&gt; "Real Estate", 'Asset Class Tables and Dropdown'!A2 &lt;&gt; "Name", 'Asset Class Tables and Dropdown'!A2 &lt;&gt; "Private Lending", 'Asset Class Tables and Dropdown'!A2 &lt;&gt; "Private Equity", 'Asset Class Tables and Dropdown'!A2 &lt;&gt; "Natural Resources", 'Asset Class Tables and Dropdown'!A2 &lt;&gt; "Absolute Return", 'Asset Class Tables and Dropdown'!A2 &lt;&gt; "Fixed Income", 'Asset Class Tables and Dropdown'!A2 &lt;&gt; "Public Equity", 'Asset Class Tables and Dropdown'!A2 &lt;&gt; ""), 'Asset Class Tables and Dropdown'!A2, "")</f>
        <v>Name</v>
      </c>
      <c r="D58" s="182">
        <f>SUMIF('Investment Proposal Inputs'!$M$29:$M$141, Investment_Proposal_Calculations51[[#This Row],[Ticker **Must Match Investment Proposal Inputs**]], 'Investment Proposal Inputs'!$N$29:$N$141)</f>
        <v>0</v>
      </c>
      <c r="E58"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59" spans="2:5">
      <c r="B59" t="str">
        <f>IF(OR('Asset Class Tables and Dropdown'!A3 &lt;&gt; "Real Estate", 'Asset Class Tables and Dropdown'!A3 &lt;&gt; "Name", 'Asset Class Tables and Dropdown'!A3 &lt;&gt; "Private Lending", 'Asset Class Tables and Dropdown'!A3 &lt;&gt; "Private Equity", 'Asset Class Tables and Dropdown'!A3 &lt;&gt; "Natural Resources", 'Asset Class Tables and Dropdown'!A3 &lt;&gt; "Absolute Return", 'Asset Class Tables and Dropdown'!A3 &lt;&gt; "Fixed Income", 'Asset Class Tables and Dropdown'!A3 &lt;&gt; "Public Equity", 'Asset Class Tables and Dropdown'!A3 &lt;&gt; ""), 'Asset Class Tables and Dropdown'!A3, "")</f>
        <v>Apollo Diversified Real Estate Fund Fund</v>
      </c>
      <c r="D59" s="182">
        <f>SUMIF('Investment Proposal Inputs'!$M$29:$M$141, Investment_Proposal_Calculations51[[#This Row],[Ticker **Must Match Investment Proposal Inputs**]], 'Investment Proposal Inputs'!$N$29:$N$141)</f>
        <v>0</v>
      </c>
      <c r="E59"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60" spans="2:5">
      <c r="B60" t="str">
        <f>IF(OR('Asset Class Tables and Dropdown'!A4 &lt;&gt; "Real Estate", 'Asset Class Tables and Dropdown'!A4 &lt;&gt; "Name", 'Asset Class Tables and Dropdown'!A4 &lt;&gt; "Private Lending", 'Asset Class Tables and Dropdown'!A4 &lt;&gt; "Private Equity", 'Asset Class Tables and Dropdown'!A4 &lt;&gt; "Natural Resources", 'Asset Class Tables and Dropdown'!A4 &lt;&gt; "Absolute Return", 'Asset Class Tables and Dropdown'!A4 &lt;&gt; "Fixed Income", 'Asset Class Tables and Dropdown'!A4 &lt;&gt; "Public Equity", 'Asset Class Tables and Dropdown'!A4 &lt;&gt; ""), 'Asset Class Tables and Dropdown'!A4, "")</f>
        <v>Blackstone BREIT</v>
      </c>
      <c r="D60" s="182">
        <f>SUMIF('Investment Proposal Inputs'!$M$29:$M$141, Investment_Proposal_Calculations51[[#This Row],[Ticker **Must Match Investment Proposal Inputs**]], 'Investment Proposal Inputs'!$N$29:$N$141)</f>
        <v>0</v>
      </c>
      <c r="E60"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61" spans="2:5">
      <c r="B61" t="str">
        <f>IF(OR('Asset Class Tables and Dropdown'!A5 &lt;&gt; "Real Estate", 'Asset Class Tables and Dropdown'!A5 &lt;&gt; "Name", 'Asset Class Tables and Dropdown'!A5 &lt;&gt; "Private Lending", 'Asset Class Tables and Dropdown'!A5 &lt;&gt; "Private Equity", 'Asset Class Tables and Dropdown'!A5 &lt;&gt; "Natural Resources", 'Asset Class Tables and Dropdown'!A5 &lt;&gt; "Absolute Return", 'Asset Class Tables and Dropdown'!A5 &lt;&gt; "Fixed Income", 'Asset Class Tables and Dropdown'!A5 &lt;&gt; "Public Equity", 'Asset Class Tables and Dropdown'!A5 &lt;&gt; ""), 'Asset Class Tables and Dropdown'!A5, "")</f>
        <v>Bluerock Interval Fund</v>
      </c>
      <c r="D61" s="182">
        <f>SUMIF('Investment Proposal Inputs'!$M$29:$M$141, Investment_Proposal_Calculations51[[#This Row],[Ticker **Must Match Investment Proposal Inputs**]], 'Investment Proposal Inputs'!$N$29:$N$141)</f>
        <v>0</v>
      </c>
      <c r="E61"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62" spans="2:5">
      <c r="B62" t="str">
        <f>IF(OR('Asset Class Tables and Dropdown'!A6 &lt;&gt; "Real Estate", 'Asset Class Tables and Dropdown'!A6 &lt;&gt; "Name", 'Asset Class Tables and Dropdown'!A6 &lt;&gt; "Private Lending", 'Asset Class Tables and Dropdown'!A6 &lt;&gt; "Private Equity", 'Asset Class Tables and Dropdown'!A6 &lt;&gt; "Natural Resources", 'Asset Class Tables and Dropdown'!A6 &lt;&gt; "Absolute Return", 'Asset Class Tables and Dropdown'!A6 &lt;&gt; "Fixed Income", 'Asset Class Tables and Dropdown'!A6 &lt;&gt; "Public Equity", 'Asset Class Tables and Dropdown'!A6 &lt;&gt; ""), 'Asset Class Tables and Dropdown'!A6, "")</f>
        <v>Easterly Funds Global Real Estate Fund</v>
      </c>
      <c r="D62" s="182">
        <f>SUMIF('Investment Proposal Inputs'!$M$29:$M$141, Investment_Proposal_Calculations51[[#This Row],[Ticker **Must Match Investment Proposal Inputs**]], 'Investment Proposal Inputs'!$N$29:$N$141)</f>
        <v>0</v>
      </c>
      <c r="E62"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63" spans="2:5">
      <c r="B63" t="str">
        <f>IF(OR('Asset Class Tables and Dropdown'!A7 &lt;&gt; "Real Estate", 'Asset Class Tables and Dropdown'!A7 &lt;&gt; "Name", 'Asset Class Tables and Dropdown'!A7 &lt;&gt; "Private Lending", 'Asset Class Tables and Dropdown'!A7 &lt;&gt; "Private Equity", 'Asset Class Tables and Dropdown'!A7 &lt;&gt; "Natural Resources", 'Asset Class Tables and Dropdown'!A7 &lt;&gt; "Absolute Return", 'Asset Class Tables and Dropdown'!A7 &lt;&gt; "Fixed Income", 'Asset Class Tables and Dropdown'!A7 &lt;&gt; "Public Equity", 'Asset Class Tables and Dropdown'!A7 &lt;&gt; ""), 'Asset Class Tables and Dropdown'!A7, "")</f>
        <v>Hines Global Income Trust</v>
      </c>
      <c r="D63" s="182">
        <f>SUMIF('Investment Proposal Inputs'!$M$29:$M$141, Investment_Proposal_Calculations51[[#This Row],[Ticker **Must Match Investment Proposal Inputs**]], 'Investment Proposal Inputs'!$N$29:$N$141)</f>
        <v>0</v>
      </c>
      <c r="E63"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64" spans="2:5">
      <c r="B64" t="str">
        <f>IF(OR('Asset Class Tables and Dropdown'!A8 &lt;&gt; "Real Estate", 'Asset Class Tables and Dropdown'!A8 &lt;&gt; "Name", 'Asset Class Tables and Dropdown'!A8 &lt;&gt; "Private Lending", 'Asset Class Tables and Dropdown'!A8 &lt;&gt; "Private Equity", 'Asset Class Tables and Dropdown'!A8 &lt;&gt; "Natural Resources", 'Asset Class Tables and Dropdown'!A8 &lt;&gt; "Absolute Return", 'Asset Class Tables and Dropdown'!A8 &lt;&gt; "Fixed Income", 'Asset Class Tables and Dropdown'!A8 &lt;&gt; "Public Equity", 'Asset Class Tables and Dropdown'!A8 &lt;&gt; ""), 'Asset Class Tables and Dropdown'!A8, "")</f>
        <v>Industrial Property Trust</v>
      </c>
      <c r="D64" s="182">
        <f>SUMIF('Investment Proposal Inputs'!$M$29:$M$141, Investment_Proposal_Calculations51[[#This Row],[Ticker **Must Match Investment Proposal Inputs**]], 'Investment Proposal Inputs'!$N$29:$N$141)</f>
        <v>0</v>
      </c>
      <c r="E64"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65" spans="2:5">
      <c r="B65" t="str">
        <f>IF(OR('Asset Class Tables and Dropdown'!A9 &lt;&gt; "Real Estate", 'Asset Class Tables and Dropdown'!A9 &lt;&gt; "Name", 'Asset Class Tables and Dropdown'!A9 &lt;&gt; "Private Lending", 'Asset Class Tables and Dropdown'!A9 &lt;&gt; "Private Equity", 'Asset Class Tables and Dropdown'!A9 &lt;&gt; "Natural Resources", 'Asset Class Tables and Dropdown'!A9 &lt;&gt; "Absolute Return", 'Asset Class Tables and Dropdown'!A9 &lt;&gt; "Fixed Income", 'Asset Class Tables and Dropdown'!A9 &lt;&gt; "Public Equity", 'Asset Class Tables and Dropdown'!A9 &lt;&gt; ""), 'Asset Class Tables and Dropdown'!A9, "")</f>
        <v>Nuveen Global Cities REIT</v>
      </c>
      <c r="D65" s="182">
        <f>SUMIF('Investment Proposal Inputs'!$M$29:$M$141, Investment_Proposal_Calculations51[[#This Row],[Ticker **Must Match Investment Proposal Inputs**]], 'Investment Proposal Inputs'!$N$29:$N$141)</f>
        <v>0</v>
      </c>
      <c r="E65"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66" spans="2:5">
      <c r="B66" t="str">
        <f>IF(OR('Asset Class Tables and Dropdown'!A10 &lt;&gt; "Real Estate", 'Asset Class Tables and Dropdown'!A10 &lt;&gt; "Name", 'Asset Class Tables and Dropdown'!A10 &lt;&gt; "Private Lending", 'Asset Class Tables and Dropdown'!A10 &lt;&gt; "Private Equity", 'Asset Class Tables and Dropdown'!A10 &lt;&gt; "Natural Resources", 'Asset Class Tables and Dropdown'!A10 &lt;&gt; "Absolute Return", 'Asset Class Tables and Dropdown'!A10 &lt;&gt; "Fixed Income", 'Asset Class Tables and Dropdown'!A10 &lt;&gt; "Public Equity", 'Asset Class Tables and Dropdown'!A10 &lt;&gt; ""), 'Asset Class Tables and Dropdown'!A10, "")</f>
        <v>Sealy Industrial Partners</v>
      </c>
      <c r="D66" s="182">
        <f>SUMIF('Investment Proposal Inputs'!$M$29:$M$141, Investment_Proposal_Calculations51[[#This Row],[Ticker **Must Match Investment Proposal Inputs**]], 'Investment Proposal Inputs'!$N$29:$N$141)</f>
        <v>0</v>
      </c>
      <c r="E66"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67" spans="2:5">
      <c r="B67" t="str">
        <f>IF(OR('Asset Class Tables and Dropdown'!A11 &lt;&gt; "Real Estate", 'Asset Class Tables and Dropdown'!A11 &lt;&gt; "Name", 'Asset Class Tables and Dropdown'!A11 &lt;&gt; "Private Lending", 'Asset Class Tables and Dropdown'!A11 &lt;&gt; "Private Equity", 'Asset Class Tables and Dropdown'!A11 &lt;&gt; "Natural Resources", 'Asset Class Tables and Dropdown'!A11 &lt;&gt; "Absolute Return", 'Asset Class Tables and Dropdown'!A11 &lt;&gt; "Fixed Income", 'Asset Class Tables and Dropdown'!A11 &lt;&gt; "Public Equity", 'Asset Class Tables and Dropdown'!A11 &lt;&gt; ""), 'Asset Class Tables and Dropdown'!A11, "")</f>
        <v>Strategic Storage Growth Trust II</v>
      </c>
      <c r="D67" s="182">
        <f>SUMIF('Investment Proposal Inputs'!$M$29:$M$141, Investment_Proposal_Calculations51[[#This Row],[Ticker **Must Match Investment Proposal Inputs**]], 'Investment Proposal Inputs'!$N$29:$N$141)</f>
        <v>0</v>
      </c>
      <c r="E67"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68" spans="2:5">
      <c r="B68" t="str">
        <f>IF(OR('Asset Class Tables and Dropdown'!A12 &lt;&gt; "Real Estate", 'Asset Class Tables and Dropdown'!A12 &lt;&gt; "Name", 'Asset Class Tables and Dropdown'!A12 &lt;&gt; "Private Lending", 'Asset Class Tables and Dropdown'!A12 &lt;&gt; "Private Equity", 'Asset Class Tables and Dropdown'!A12 &lt;&gt; "Natural Resources", 'Asset Class Tables and Dropdown'!A12 &lt;&gt; "Absolute Return", 'Asset Class Tables and Dropdown'!A12 &lt;&gt; "Fixed Income", 'Asset Class Tables and Dropdown'!A12 &lt;&gt; "Public Equity", 'Asset Class Tables and Dropdown'!A12 &lt;&gt; ""), 'Asset Class Tables and Dropdown'!A12, "")</f>
        <v>Strategic Storage Trust IV</v>
      </c>
      <c r="D68" s="182">
        <f>SUMIF('Investment Proposal Inputs'!$M$29:$M$141, Investment_Proposal_Calculations51[[#This Row],[Ticker **Must Match Investment Proposal Inputs**]], 'Investment Proposal Inputs'!$N$29:$N$141)</f>
        <v>0</v>
      </c>
      <c r="E68"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69" spans="2:5">
      <c r="B69" t="str">
        <f>IF(OR('Asset Class Tables and Dropdown'!A13 &lt;&gt; "Real Estate", 'Asset Class Tables and Dropdown'!A13 &lt;&gt; "Name", 'Asset Class Tables and Dropdown'!A13 &lt;&gt; "Private Lending", 'Asset Class Tables and Dropdown'!A13 &lt;&gt; "Private Equity", 'Asset Class Tables and Dropdown'!A13 &lt;&gt; "Natural Resources", 'Asset Class Tables and Dropdown'!A13 &lt;&gt; "Absolute Return", 'Asset Class Tables and Dropdown'!A13 &lt;&gt; "Fixed Income", 'Asset Class Tables and Dropdown'!A13 &lt;&gt; "Public Equity", 'Asset Class Tables and Dropdown'!A13 &lt;&gt; ""), 'Asset Class Tables and Dropdown'!A13, "")</f>
        <v>Starwood SREIT</v>
      </c>
      <c r="D69" s="182">
        <f>SUMIF('Investment Proposal Inputs'!$M$29:$M$141, Investment_Proposal_Calculations51[[#This Row],[Ticker **Must Match Investment Proposal Inputs**]], 'Investment Proposal Inputs'!$N$29:$N$141)</f>
        <v>0</v>
      </c>
      <c r="E69"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70" spans="2:5">
      <c r="B70" t="str">
        <f>IF(OR('Asset Class Tables and Dropdown'!A14 &lt;&gt; "Real Estate", 'Asset Class Tables and Dropdown'!A14 &lt;&gt; "Name", 'Asset Class Tables and Dropdown'!A14 &lt;&gt; "Private Lending", 'Asset Class Tables and Dropdown'!A14 &lt;&gt; "Private Equity", 'Asset Class Tables and Dropdown'!A14 &lt;&gt; "Natural Resources", 'Asset Class Tables and Dropdown'!A14 &lt;&gt; "Absolute Return", 'Asset Class Tables and Dropdown'!A14 &lt;&gt; "Fixed Income", 'Asset Class Tables and Dropdown'!A14 &lt;&gt; "Public Equity", 'Asset Class Tables and Dropdown'!A14 &lt;&gt; ""), 'Asset Class Tables and Dropdown'!A14, "")</f>
        <v>Private Real Estate Opportunity</v>
      </c>
      <c r="D70" s="182">
        <f>SUMIF('Investment Proposal Inputs'!$M$29:$M$141, Investment_Proposal_Calculations51[[#This Row],[Ticker **Must Match Investment Proposal Inputs**]], 'Investment Proposal Inputs'!$N$29:$N$141)</f>
        <v>0</v>
      </c>
      <c r="E70"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71" spans="2:5">
      <c r="B71">
        <f>IF(OR('Asset Class Tables and Dropdown'!A15 &lt;&gt; "Real Estate", 'Asset Class Tables and Dropdown'!A15 &lt;&gt; "Name", 'Asset Class Tables and Dropdown'!A15 &lt;&gt; "Private Lending", 'Asset Class Tables and Dropdown'!A15 &lt;&gt; "Private Equity", 'Asset Class Tables and Dropdown'!A15 &lt;&gt; "Natural Resources", 'Asset Class Tables and Dropdown'!A15 &lt;&gt; "Absolute Return", 'Asset Class Tables and Dropdown'!A15 &lt;&gt; "Fixed Income", 'Asset Class Tables and Dropdown'!A15 &lt;&gt; "Public Equity", 'Asset Class Tables and Dropdown'!A15 &lt;&gt; ""), 'Asset Class Tables and Dropdown'!A15, "")</f>
        <v>0</v>
      </c>
      <c r="D71" s="182">
        <f>SUMIF('Investment Proposal Inputs'!$M$29:$M$141, Investment_Proposal_Calculations51[[#This Row],[Ticker **Must Match Investment Proposal Inputs**]], 'Investment Proposal Inputs'!$N$29:$N$141)</f>
        <v>0</v>
      </c>
      <c r="E71"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72" spans="2:5">
      <c r="B72">
        <f>IF(OR('Asset Class Tables and Dropdown'!A16 &lt;&gt; "Real Estate", 'Asset Class Tables and Dropdown'!A16 &lt;&gt; "Name", 'Asset Class Tables and Dropdown'!A16 &lt;&gt; "Private Lending", 'Asset Class Tables and Dropdown'!A16 &lt;&gt; "Private Equity", 'Asset Class Tables and Dropdown'!A16 &lt;&gt; "Natural Resources", 'Asset Class Tables and Dropdown'!A16 &lt;&gt; "Absolute Return", 'Asset Class Tables and Dropdown'!A16 &lt;&gt; "Fixed Income", 'Asset Class Tables and Dropdown'!A16 &lt;&gt; "Public Equity", 'Asset Class Tables and Dropdown'!A16 &lt;&gt; ""), 'Asset Class Tables and Dropdown'!A16, "")</f>
        <v>0</v>
      </c>
      <c r="D72" s="182">
        <f>SUMIF('Investment Proposal Inputs'!$M$29:$M$141, Investment_Proposal_Calculations51[[#This Row],[Ticker **Must Match Investment Proposal Inputs**]], 'Investment Proposal Inputs'!$N$29:$N$141)</f>
        <v>0</v>
      </c>
      <c r="E72"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73" spans="2:5">
      <c r="B73">
        <f>IF(OR('Asset Class Tables and Dropdown'!A17 &lt;&gt; "Real Estate", 'Asset Class Tables and Dropdown'!A17 &lt;&gt; "Name", 'Asset Class Tables and Dropdown'!A17 &lt;&gt; "Private Lending", 'Asset Class Tables and Dropdown'!A17 &lt;&gt; "Private Equity", 'Asset Class Tables and Dropdown'!A17 &lt;&gt; "Natural Resources", 'Asset Class Tables and Dropdown'!A17 &lt;&gt; "Absolute Return", 'Asset Class Tables and Dropdown'!A17 &lt;&gt; "Fixed Income", 'Asset Class Tables and Dropdown'!A17 &lt;&gt; "Public Equity", 'Asset Class Tables and Dropdown'!A17 &lt;&gt; ""), 'Asset Class Tables and Dropdown'!A17, "")</f>
        <v>0</v>
      </c>
      <c r="D73" s="182">
        <f>SUMIF('Investment Proposal Inputs'!$M$29:$M$141, Investment_Proposal_Calculations51[[#This Row],[Ticker **Must Match Investment Proposal Inputs**]], 'Investment Proposal Inputs'!$N$29:$N$141)</f>
        <v>0</v>
      </c>
      <c r="E73"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74" spans="2:5">
      <c r="B74">
        <f>IF(OR('Asset Class Tables and Dropdown'!A18 &lt;&gt; "Real Estate", 'Asset Class Tables and Dropdown'!A18 &lt;&gt; "Name", 'Asset Class Tables and Dropdown'!A18 &lt;&gt; "Private Lending", 'Asset Class Tables and Dropdown'!A18 &lt;&gt; "Private Equity", 'Asset Class Tables and Dropdown'!A18 &lt;&gt; "Natural Resources", 'Asset Class Tables and Dropdown'!A18 &lt;&gt; "Absolute Return", 'Asset Class Tables and Dropdown'!A18 &lt;&gt; "Fixed Income", 'Asset Class Tables and Dropdown'!A18 &lt;&gt; "Public Equity", 'Asset Class Tables and Dropdown'!A18 &lt;&gt; ""), 'Asset Class Tables and Dropdown'!A18, "")</f>
        <v>0</v>
      </c>
      <c r="D74" s="182">
        <f>SUMIF('Investment Proposal Inputs'!$M$29:$M$141, Investment_Proposal_Calculations51[[#This Row],[Ticker **Must Match Investment Proposal Inputs**]], 'Investment Proposal Inputs'!$N$29:$N$141)</f>
        <v>0</v>
      </c>
      <c r="E74"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75" spans="2:5">
      <c r="B75">
        <f>IF(OR('Asset Class Tables and Dropdown'!A19 &lt;&gt; "Real Estate", 'Asset Class Tables and Dropdown'!A19 &lt;&gt; "Name", 'Asset Class Tables and Dropdown'!A19 &lt;&gt; "Private Lending", 'Asset Class Tables and Dropdown'!A19 &lt;&gt; "Private Equity", 'Asset Class Tables and Dropdown'!A19 &lt;&gt; "Natural Resources", 'Asset Class Tables and Dropdown'!A19 &lt;&gt; "Absolute Return", 'Asset Class Tables and Dropdown'!A19 &lt;&gt; "Fixed Income", 'Asset Class Tables and Dropdown'!A19 &lt;&gt; "Public Equity", 'Asset Class Tables and Dropdown'!A19 &lt;&gt; ""), 'Asset Class Tables and Dropdown'!A19, "")</f>
        <v>0</v>
      </c>
      <c r="D75" s="182">
        <f>SUMIF('Investment Proposal Inputs'!$M$29:$M$141, Investment_Proposal_Calculations51[[#This Row],[Ticker **Must Match Investment Proposal Inputs**]], 'Investment Proposal Inputs'!$N$29:$N$141)</f>
        <v>0</v>
      </c>
      <c r="E75"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76" spans="2:5">
      <c r="B76">
        <f>IF(OR('Asset Class Tables and Dropdown'!A20 &lt;&gt; "Real Estate", 'Asset Class Tables and Dropdown'!A20 &lt;&gt; "Name", 'Asset Class Tables and Dropdown'!A20 &lt;&gt; "Private Lending", 'Asset Class Tables and Dropdown'!A20 &lt;&gt; "Private Equity", 'Asset Class Tables and Dropdown'!A20 &lt;&gt; "Natural Resources", 'Asset Class Tables and Dropdown'!A20 &lt;&gt; "Absolute Return", 'Asset Class Tables and Dropdown'!A20 &lt;&gt; "Fixed Income", 'Asset Class Tables and Dropdown'!A20 &lt;&gt; "Public Equity", 'Asset Class Tables and Dropdown'!A20 &lt;&gt; ""), 'Asset Class Tables and Dropdown'!A20, "")</f>
        <v>0</v>
      </c>
      <c r="D76" s="182">
        <f>SUMIF('Investment Proposal Inputs'!$M$29:$M$141, Investment_Proposal_Calculations51[[#This Row],[Ticker **Must Match Investment Proposal Inputs**]], 'Investment Proposal Inputs'!$N$29:$N$141)</f>
        <v>0</v>
      </c>
      <c r="E76"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77" spans="2:5">
      <c r="B77">
        <f>IF(OR('Asset Class Tables and Dropdown'!A21 &lt;&gt; "Real Estate", 'Asset Class Tables and Dropdown'!A21 &lt;&gt; "Name", 'Asset Class Tables and Dropdown'!A21 &lt;&gt; "Private Lending", 'Asset Class Tables and Dropdown'!A21 &lt;&gt; "Private Equity", 'Asset Class Tables and Dropdown'!A21 &lt;&gt; "Natural Resources", 'Asset Class Tables and Dropdown'!A21 &lt;&gt; "Absolute Return", 'Asset Class Tables and Dropdown'!A21 &lt;&gt; "Fixed Income", 'Asset Class Tables and Dropdown'!A21 &lt;&gt; "Public Equity", 'Asset Class Tables and Dropdown'!A21 &lt;&gt; ""), 'Asset Class Tables and Dropdown'!A21, "")</f>
        <v>0</v>
      </c>
      <c r="D77" s="182">
        <f>SUMIF('Investment Proposal Inputs'!$M$29:$M$141, Investment_Proposal_Calculations51[[#This Row],[Ticker **Must Match Investment Proposal Inputs**]], 'Investment Proposal Inputs'!$N$29:$N$141)</f>
        <v>0</v>
      </c>
      <c r="E77"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78" spans="2:5">
      <c r="B78">
        <f>IF(OR('Asset Class Tables and Dropdown'!A22 &lt;&gt; "Real Estate", 'Asset Class Tables and Dropdown'!A22 &lt;&gt; "Name", 'Asset Class Tables and Dropdown'!A22 &lt;&gt; "Private Lending", 'Asset Class Tables and Dropdown'!A22 &lt;&gt; "Private Equity", 'Asset Class Tables and Dropdown'!A22 &lt;&gt; "Natural Resources", 'Asset Class Tables and Dropdown'!A22 &lt;&gt; "Absolute Return", 'Asset Class Tables and Dropdown'!A22 &lt;&gt; "Fixed Income", 'Asset Class Tables and Dropdown'!A22 &lt;&gt; "Public Equity", 'Asset Class Tables and Dropdown'!A22 &lt;&gt; ""), 'Asset Class Tables and Dropdown'!A22, "")</f>
        <v>0</v>
      </c>
      <c r="D78" s="182">
        <f>SUMIF('Investment Proposal Inputs'!$M$29:$M$141, Investment_Proposal_Calculations51[[#This Row],[Ticker **Must Match Investment Proposal Inputs**]], 'Investment Proposal Inputs'!$N$29:$N$141)</f>
        <v>0</v>
      </c>
      <c r="E78"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79" spans="2:5">
      <c r="B79" t="str">
        <f>IF(OR('Asset Class Tables and Dropdown'!A23 &lt;&gt; "Real Estate", 'Asset Class Tables and Dropdown'!A23 &lt;&gt; "Name", 'Asset Class Tables and Dropdown'!A23 &lt;&gt; "Private Lending", 'Asset Class Tables and Dropdown'!A23 &lt;&gt; "Private Equity", 'Asset Class Tables and Dropdown'!A23 &lt;&gt; "Natural Resources", 'Asset Class Tables and Dropdown'!A23 &lt;&gt; "Absolute Return", 'Asset Class Tables and Dropdown'!A23 &lt;&gt; "Fixed Income", 'Asset Class Tables and Dropdown'!A23 &lt;&gt; "Public Equity", 'Asset Class Tables and Dropdown'!A23 &lt;&gt; ""), 'Asset Class Tables and Dropdown'!A23, "")</f>
        <v>Private Lending</v>
      </c>
      <c r="D79" s="182">
        <f>SUMIF('Investment Proposal Inputs'!$M$29:$M$141, Investment_Proposal_Calculations51[[#This Row],[Ticker **Must Match Investment Proposal Inputs**]], 'Investment Proposal Inputs'!$N$29:$N$141)</f>
        <v>0</v>
      </c>
      <c r="E79"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80" spans="2:5">
      <c r="B80" t="str">
        <f>IF(OR('Asset Class Tables and Dropdown'!A24 &lt;&gt; "Real Estate", 'Asset Class Tables and Dropdown'!A24 &lt;&gt; "Name", 'Asset Class Tables and Dropdown'!A24 &lt;&gt; "Private Lending", 'Asset Class Tables and Dropdown'!A24 &lt;&gt; "Private Equity", 'Asset Class Tables and Dropdown'!A24 &lt;&gt; "Natural Resources", 'Asset Class Tables and Dropdown'!A24 &lt;&gt; "Absolute Return", 'Asset Class Tables and Dropdown'!A24 &lt;&gt; "Fixed Income", 'Asset Class Tables and Dropdown'!A24 &lt;&gt; "Public Equity", 'Asset Class Tables and Dropdown'!A24 &lt;&gt; ""), 'Asset Class Tables and Dropdown'!A24, "")</f>
        <v>Name</v>
      </c>
      <c r="D80" s="182">
        <f>SUMIF('Investment Proposal Inputs'!$M$29:$M$141, Investment_Proposal_Calculations51[[#This Row],[Ticker **Must Match Investment Proposal Inputs**]], 'Investment Proposal Inputs'!$N$29:$N$141)</f>
        <v>0</v>
      </c>
      <c r="E80"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81" spans="2:5">
      <c r="B81" t="str">
        <f>IF(OR('Asset Class Tables and Dropdown'!A25 &lt;&gt; "Real Estate", 'Asset Class Tables and Dropdown'!A25 &lt;&gt; "Name", 'Asset Class Tables and Dropdown'!A25 &lt;&gt; "Private Lending", 'Asset Class Tables and Dropdown'!A25 &lt;&gt; "Private Equity", 'Asset Class Tables and Dropdown'!A25 &lt;&gt; "Natural Resources", 'Asset Class Tables and Dropdown'!A25 &lt;&gt; "Absolute Return", 'Asset Class Tables and Dropdown'!A25 &lt;&gt; "Fixed Income", 'Asset Class Tables and Dropdown'!A25 &lt;&gt; "Public Equity", 'Asset Class Tables and Dropdown'!A25 &lt;&gt; ""), 'Asset Class Tables and Dropdown'!A25, "")</f>
        <v>Cion Ares Diversified Credit</v>
      </c>
      <c r="D81" s="182">
        <f>SUMIF('Investment Proposal Inputs'!$M$29:$M$141, Investment_Proposal_Calculations51[[#This Row],[Ticker **Must Match Investment Proposal Inputs**]], 'Investment Proposal Inputs'!$N$29:$N$141)</f>
        <v>0</v>
      </c>
      <c r="E81"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82" spans="2:5">
      <c r="B82" t="str">
        <f>IF(OR('Asset Class Tables and Dropdown'!A26 &lt;&gt; "Real Estate", 'Asset Class Tables and Dropdown'!A26 &lt;&gt; "Name", 'Asset Class Tables and Dropdown'!A26 &lt;&gt; "Private Lending", 'Asset Class Tables and Dropdown'!A26 &lt;&gt; "Private Equity", 'Asset Class Tables and Dropdown'!A26 &lt;&gt; "Natural Resources", 'Asset Class Tables and Dropdown'!A26 &lt;&gt; "Absolute Return", 'Asset Class Tables and Dropdown'!A26 &lt;&gt; "Fixed Income", 'Asset Class Tables and Dropdown'!A26 &lt;&gt; "Public Equity", 'Asset Class Tables and Dropdown'!A26 &lt;&gt; ""), 'Asset Class Tables and Dropdown'!A26, "")</f>
        <v>Cliffwater Corporate Lending Fund</v>
      </c>
      <c r="D82" s="182">
        <f>SUMIF('Investment Proposal Inputs'!$M$29:$M$141, Investment_Proposal_Calculations51[[#This Row],[Ticker **Must Match Investment Proposal Inputs**]], 'Investment Proposal Inputs'!$N$29:$N$141)</f>
        <v>0</v>
      </c>
      <c r="E82"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83" spans="2:5">
      <c r="B83" t="str">
        <f>IF(OR('Asset Class Tables and Dropdown'!A27 &lt;&gt; "Real Estate", 'Asset Class Tables and Dropdown'!A27 &lt;&gt; "Name", 'Asset Class Tables and Dropdown'!A27 &lt;&gt; "Private Lending", 'Asset Class Tables and Dropdown'!A27 &lt;&gt; "Private Equity", 'Asset Class Tables and Dropdown'!A27 &lt;&gt; "Natural Resources", 'Asset Class Tables and Dropdown'!A27 &lt;&gt; "Absolute Return", 'Asset Class Tables and Dropdown'!A27 &lt;&gt; "Fixed Income", 'Asset Class Tables and Dropdown'!A27 &lt;&gt; "Public Equity", 'Asset Class Tables and Dropdown'!A27 &lt;&gt; ""), 'Asset Class Tables and Dropdown'!A27, "")</f>
        <v>Inpoint Commercial Real Estate Income</v>
      </c>
      <c r="D83" s="182">
        <f>SUMIF('Investment Proposal Inputs'!$M$29:$M$141, Investment_Proposal_Calculations51[[#This Row],[Ticker **Must Match Investment Proposal Inputs**]], 'Investment Proposal Inputs'!$N$29:$N$141)</f>
        <v>0</v>
      </c>
      <c r="E83"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84" spans="2:5">
      <c r="B84" t="str">
        <f>IF(OR('Asset Class Tables and Dropdown'!A28 &lt;&gt; "Real Estate", 'Asset Class Tables and Dropdown'!A28 &lt;&gt; "Name", 'Asset Class Tables and Dropdown'!A28 &lt;&gt; "Private Lending", 'Asset Class Tables and Dropdown'!A28 &lt;&gt; "Private Equity", 'Asset Class Tables and Dropdown'!A28 &lt;&gt; "Natural Resources", 'Asset Class Tables and Dropdown'!A28 &lt;&gt; "Absolute Return", 'Asset Class Tables and Dropdown'!A28 &lt;&gt; "Fixed Income", 'Asset Class Tables and Dropdown'!A28 &lt;&gt; "Public Equity", 'Asset Class Tables and Dropdown'!A28 &lt;&gt; ""), 'Asset Class Tables and Dropdown'!A28, "")</f>
        <v>Blue Owl Credit Income Corp</v>
      </c>
      <c r="D84" s="182">
        <f>SUMIF('Investment Proposal Inputs'!$M$29:$M$141, Investment_Proposal_Calculations51[[#This Row],[Ticker **Must Match Investment Proposal Inputs**]], 'Investment Proposal Inputs'!$N$29:$N$141)</f>
        <v>0</v>
      </c>
      <c r="E84"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85" spans="2:5">
      <c r="B85" t="str">
        <f>IF(OR('Asset Class Tables and Dropdown'!A29 &lt;&gt; "Real Estate", 'Asset Class Tables and Dropdown'!A29 &lt;&gt; "Name", 'Asset Class Tables and Dropdown'!A29 &lt;&gt; "Private Lending", 'Asset Class Tables and Dropdown'!A29 &lt;&gt; "Private Equity", 'Asset Class Tables and Dropdown'!A29 &lt;&gt; "Natural Resources", 'Asset Class Tables and Dropdown'!A29 &lt;&gt; "Absolute Return", 'Asset Class Tables and Dropdown'!A29 &lt;&gt; "Fixed Income", 'Asset Class Tables and Dropdown'!A29 &lt;&gt; "Public Equity", 'Asset Class Tables and Dropdown'!A29 &lt;&gt; ""), 'Asset Class Tables and Dropdown'!A29, "")</f>
        <v>Blue Owl Technology Income Corp</v>
      </c>
      <c r="D85" s="182">
        <f>SUMIF('Investment Proposal Inputs'!$M$29:$M$141, Investment_Proposal_Calculations51[[#This Row],[Ticker **Must Match Investment Proposal Inputs**]], 'Investment Proposal Inputs'!$N$29:$N$141)</f>
        <v>0</v>
      </c>
      <c r="E85"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86" spans="2:5">
      <c r="B86" t="str">
        <f>IF(OR('Asset Class Tables and Dropdown'!A30 &lt;&gt; "Real Estate", 'Asset Class Tables and Dropdown'!A30 &lt;&gt; "Name", 'Asset Class Tables and Dropdown'!A30 &lt;&gt; "Private Lending", 'Asset Class Tables and Dropdown'!A30 &lt;&gt; "Private Equity", 'Asset Class Tables and Dropdown'!A30 &lt;&gt; "Natural Resources", 'Asset Class Tables and Dropdown'!A30 &lt;&gt; "Absolute Return", 'Asset Class Tables and Dropdown'!A30 &lt;&gt; "Fixed Income", 'Asset Class Tables and Dropdown'!A30 &lt;&gt; "Public Equity", 'Asset Class Tables and Dropdown'!A30 &lt;&gt; ""), 'Asset Class Tables and Dropdown'!A30, "")</f>
        <v>Nuveen Churchill Private Capital Income Fund</v>
      </c>
      <c r="D86" s="182">
        <f>SUMIF('Investment Proposal Inputs'!$M$29:$M$141, Investment_Proposal_Calculations51[[#This Row],[Ticker **Must Match Investment Proposal Inputs**]], 'Investment Proposal Inputs'!$N$29:$N$141)</f>
        <v>0</v>
      </c>
      <c r="E86"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87" spans="2:5">
      <c r="B87" t="str">
        <f>IF(OR('Asset Class Tables and Dropdown'!A31 &lt;&gt; "Real Estate", 'Asset Class Tables and Dropdown'!A31 &lt;&gt; "Name", 'Asset Class Tables and Dropdown'!A31 &lt;&gt; "Private Lending", 'Asset Class Tables and Dropdown'!A31 &lt;&gt; "Private Equity", 'Asset Class Tables and Dropdown'!A31 &lt;&gt; "Natural Resources", 'Asset Class Tables and Dropdown'!A31 &lt;&gt; "Absolute Return", 'Asset Class Tables and Dropdown'!A31 &lt;&gt; "Fixed Income", 'Asset Class Tables and Dropdown'!A31 &lt;&gt; "Public Equity", 'Asset Class Tables and Dropdown'!A31 &lt;&gt; ""), 'Asset Class Tables and Dropdown'!A31, "")</f>
        <v>Private Lending Opportunity</v>
      </c>
      <c r="D87" s="182">
        <f>SUMIF('Investment Proposal Inputs'!$M$29:$M$141, Investment_Proposal_Calculations51[[#This Row],[Ticker **Must Match Investment Proposal Inputs**]], 'Investment Proposal Inputs'!$N$29:$N$141)</f>
        <v>0</v>
      </c>
      <c r="E87"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88" spans="2:5">
      <c r="B88">
        <f>IF(OR('Asset Class Tables and Dropdown'!A32 &lt;&gt; "Real Estate", 'Asset Class Tables and Dropdown'!A32 &lt;&gt; "Name", 'Asset Class Tables and Dropdown'!A32 &lt;&gt; "Private Lending", 'Asset Class Tables and Dropdown'!A32 &lt;&gt; "Private Equity", 'Asset Class Tables and Dropdown'!A32 &lt;&gt; "Natural Resources", 'Asset Class Tables and Dropdown'!A32 &lt;&gt; "Absolute Return", 'Asset Class Tables and Dropdown'!A32 &lt;&gt; "Fixed Income", 'Asset Class Tables and Dropdown'!A32 &lt;&gt; "Public Equity", 'Asset Class Tables and Dropdown'!A32 &lt;&gt; ""), 'Asset Class Tables and Dropdown'!A32, "")</f>
        <v>0</v>
      </c>
      <c r="D88" s="182">
        <f>SUMIF('Investment Proposal Inputs'!$M$29:$M$141, Investment_Proposal_Calculations51[[#This Row],[Ticker **Must Match Investment Proposal Inputs**]], 'Investment Proposal Inputs'!$N$29:$N$141)</f>
        <v>0</v>
      </c>
      <c r="E88"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89" spans="2:5">
      <c r="B89">
        <f>IF(OR('Asset Class Tables and Dropdown'!A33 &lt;&gt; "Real Estate", 'Asset Class Tables and Dropdown'!A33 &lt;&gt; "Name", 'Asset Class Tables and Dropdown'!A33 &lt;&gt; "Private Lending", 'Asset Class Tables and Dropdown'!A33 &lt;&gt; "Private Equity", 'Asset Class Tables and Dropdown'!A33 &lt;&gt; "Natural Resources", 'Asset Class Tables and Dropdown'!A33 &lt;&gt; "Absolute Return", 'Asset Class Tables and Dropdown'!A33 &lt;&gt; "Fixed Income", 'Asset Class Tables and Dropdown'!A33 &lt;&gt; "Public Equity", 'Asset Class Tables and Dropdown'!A33 &lt;&gt; ""), 'Asset Class Tables and Dropdown'!A33, "")</f>
        <v>0</v>
      </c>
      <c r="D89" s="182">
        <f>SUMIF('Investment Proposal Inputs'!$M$29:$M$141, Investment_Proposal_Calculations51[[#This Row],[Ticker **Must Match Investment Proposal Inputs**]], 'Investment Proposal Inputs'!$N$29:$N$141)</f>
        <v>0</v>
      </c>
      <c r="E89"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90" spans="2:5">
      <c r="B90">
        <f>IF(OR('Asset Class Tables and Dropdown'!A34 &lt;&gt; "Real Estate", 'Asset Class Tables and Dropdown'!A34 &lt;&gt; "Name", 'Asset Class Tables and Dropdown'!A34 &lt;&gt; "Private Lending", 'Asset Class Tables and Dropdown'!A34 &lt;&gt; "Private Equity", 'Asset Class Tables and Dropdown'!A34 &lt;&gt; "Natural Resources", 'Asset Class Tables and Dropdown'!A34 &lt;&gt; "Absolute Return", 'Asset Class Tables and Dropdown'!A34 &lt;&gt; "Fixed Income", 'Asset Class Tables and Dropdown'!A34 &lt;&gt; "Public Equity", 'Asset Class Tables and Dropdown'!A34 &lt;&gt; ""), 'Asset Class Tables and Dropdown'!A34, "")</f>
        <v>0</v>
      </c>
      <c r="D90" s="182">
        <f>SUMIF('Investment Proposal Inputs'!$M$29:$M$141, Investment_Proposal_Calculations51[[#This Row],[Ticker **Must Match Investment Proposal Inputs**]], 'Investment Proposal Inputs'!$N$29:$N$141)</f>
        <v>0</v>
      </c>
      <c r="E90"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91" spans="2:5">
      <c r="B91">
        <f>IF(OR('Asset Class Tables and Dropdown'!A35 &lt;&gt; "Real Estate", 'Asset Class Tables and Dropdown'!A35 &lt;&gt; "Name", 'Asset Class Tables and Dropdown'!A35 &lt;&gt; "Private Lending", 'Asset Class Tables and Dropdown'!A35 &lt;&gt; "Private Equity", 'Asset Class Tables and Dropdown'!A35 &lt;&gt; "Natural Resources", 'Asset Class Tables and Dropdown'!A35 &lt;&gt; "Absolute Return", 'Asset Class Tables and Dropdown'!A35 &lt;&gt; "Fixed Income", 'Asset Class Tables and Dropdown'!A35 &lt;&gt; "Public Equity", 'Asset Class Tables and Dropdown'!A35 &lt;&gt; ""), 'Asset Class Tables and Dropdown'!A35, "")</f>
        <v>0</v>
      </c>
      <c r="D91" s="182">
        <f>SUMIF('Investment Proposal Inputs'!$M$29:$M$141, Investment_Proposal_Calculations51[[#This Row],[Ticker **Must Match Investment Proposal Inputs**]], 'Investment Proposal Inputs'!$N$29:$N$141)</f>
        <v>0</v>
      </c>
      <c r="E91"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92" spans="2:5">
      <c r="B92">
        <f>IF(OR('Asset Class Tables and Dropdown'!A36 &lt;&gt; "Real Estate", 'Asset Class Tables and Dropdown'!A36 &lt;&gt; "Name", 'Asset Class Tables and Dropdown'!A36 &lt;&gt; "Private Lending", 'Asset Class Tables and Dropdown'!A36 &lt;&gt; "Private Equity", 'Asset Class Tables and Dropdown'!A36 &lt;&gt; "Natural Resources", 'Asset Class Tables and Dropdown'!A36 &lt;&gt; "Absolute Return", 'Asset Class Tables and Dropdown'!A36 &lt;&gt; "Fixed Income", 'Asset Class Tables and Dropdown'!A36 &lt;&gt; "Public Equity", 'Asset Class Tables and Dropdown'!A36 &lt;&gt; ""), 'Asset Class Tables and Dropdown'!A36, "")</f>
        <v>0</v>
      </c>
      <c r="D92" s="182">
        <f>SUMIF('Investment Proposal Inputs'!$M$29:$M$141, Investment_Proposal_Calculations51[[#This Row],[Ticker **Must Match Investment Proposal Inputs**]], 'Investment Proposal Inputs'!$N$29:$N$141)</f>
        <v>0</v>
      </c>
      <c r="E92"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93" spans="2:5">
      <c r="B93">
        <f>IF(OR('Asset Class Tables and Dropdown'!A37 &lt;&gt; "Real Estate", 'Asset Class Tables and Dropdown'!A37 &lt;&gt; "Name", 'Asset Class Tables and Dropdown'!A37 &lt;&gt; "Private Lending", 'Asset Class Tables and Dropdown'!A37 &lt;&gt; "Private Equity", 'Asset Class Tables and Dropdown'!A37 &lt;&gt; "Natural Resources", 'Asset Class Tables and Dropdown'!A37 &lt;&gt; "Absolute Return", 'Asset Class Tables and Dropdown'!A37 &lt;&gt; "Fixed Income", 'Asset Class Tables and Dropdown'!A37 &lt;&gt; "Public Equity", 'Asset Class Tables and Dropdown'!A37 &lt;&gt; ""), 'Asset Class Tables and Dropdown'!A37, "")</f>
        <v>0</v>
      </c>
      <c r="D93" s="182">
        <f>SUMIF('Investment Proposal Inputs'!$M$29:$M$141, Investment_Proposal_Calculations51[[#This Row],[Ticker **Must Match Investment Proposal Inputs**]], 'Investment Proposal Inputs'!$N$29:$N$141)</f>
        <v>0</v>
      </c>
      <c r="E93"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94" spans="2:5">
      <c r="B94" t="str">
        <f>IF(OR('Asset Class Tables and Dropdown'!A38 &lt;&gt; "Real Estate", 'Asset Class Tables and Dropdown'!A38 &lt;&gt; "Name", 'Asset Class Tables and Dropdown'!A38 &lt;&gt; "Private Lending", 'Asset Class Tables and Dropdown'!A38 &lt;&gt; "Private Equity", 'Asset Class Tables and Dropdown'!A38 &lt;&gt; "Natural Resources", 'Asset Class Tables and Dropdown'!A38 &lt;&gt; "Absolute Return", 'Asset Class Tables and Dropdown'!A38 &lt;&gt; "Fixed Income", 'Asset Class Tables and Dropdown'!A38 &lt;&gt; "Public Equity", 'Asset Class Tables and Dropdown'!A38 &lt;&gt; ""), 'Asset Class Tables and Dropdown'!A38, "")</f>
        <v>Private Equity</v>
      </c>
      <c r="D94" s="182">
        <f>SUMIF('Investment Proposal Inputs'!$M$29:$M$141, Investment_Proposal_Calculations51[[#This Row],[Ticker **Must Match Investment Proposal Inputs**]], 'Investment Proposal Inputs'!$N$29:$N$141)</f>
        <v>0</v>
      </c>
      <c r="E94"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95" spans="2:5">
      <c r="B95" t="str">
        <f>IF(OR('Asset Class Tables and Dropdown'!A39 &lt;&gt; "Real Estate", 'Asset Class Tables and Dropdown'!A39 &lt;&gt; "Name", 'Asset Class Tables and Dropdown'!A39 &lt;&gt; "Private Lending", 'Asset Class Tables and Dropdown'!A39 &lt;&gt; "Private Equity", 'Asset Class Tables and Dropdown'!A39 &lt;&gt; "Natural Resources", 'Asset Class Tables and Dropdown'!A39 &lt;&gt; "Absolute Return", 'Asset Class Tables and Dropdown'!A39 &lt;&gt; "Fixed Income", 'Asset Class Tables and Dropdown'!A39 &lt;&gt; "Public Equity", 'Asset Class Tables and Dropdown'!A39 &lt;&gt; ""), 'Asset Class Tables and Dropdown'!A39, "")</f>
        <v>Name</v>
      </c>
      <c r="D95" s="182">
        <f>SUMIF('Investment Proposal Inputs'!$M$29:$M$141, Investment_Proposal_Calculations51[[#This Row],[Ticker **Must Match Investment Proposal Inputs**]], 'Investment Proposal Inputs'!$N$29:$N$141)</f>
        <v>0</v>
      </c>
      <c r="E95"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96" spans="2:5">
      <c r="B96" t="str">
        <f>IF(OR('Asset Class Tables and Dropdown'!A40 &lt;&gt; "Real Estate", 'Asset Class Tables and Dropdown'!A40 &lt;&gt; "Name", 'Asset Class Tables and Dropdown'!A40 &lt;&gt; "Private Lending", 'Asset Class Tables and Dropdown'!A40 &lt;&gt; "Private Equity", 'Asset Class Tables and Dropdown'!A40 &lt;&gt; "Natural Resources", 'Asset Class Tables and Dropdown'!A40 &lt;&gt; "Absolute Return", 'Asset Class Tables and Dropdown'!A40 &lt;&gt; "Fixed Income", 'Asset Class Tables and Dropdown'!A40 &lt;&gt; "Public Equity", 'Asset Class Tables and Dropdown'!A40 &lt;&gt; ""), 'Asset Class Tables and Dropdown'!A40, "")</f>
        <v>CNL Strategic Capital</v>
      </c>
      <c r="D96" s="182">
        <f>SUMIF('Investment Proposal Inputs'!$M$29:$M$141, Investment_Proposal_Calculations51[[#This Row],[Ticker **Must Match Investment Proposal Inputs**]], 'Investment Proposal Inputs'!$N$29:$N$141)</f>
        <v>0</v>
      </c>
      <c r="E96"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97" spans="2:5">
      <c r="B97" t="str">
        <f>IF(OR('Asset Class Tables and Dropdown'!A41 &lt;&gt; "Real Estate", 'Asset Class Tables and Dropdown'!A41 &lt;&gt; "Name", 'Asset Class Tables and Dropdown'!A41 &lt;&gt; "Private Lending", 'Asset Class Tables and Dropdown'!A41 &lt;&gt; "Private Equity", 'Asset Class Tables and Dropdown'!A41 &lt;&gt; "Natural Resources", 'Asset Class Tables and Dropdown'!A41 &lt;&gt; "Absolute Return", 'Asset Class Tables and Dropdown'!A41 &lt;&gt; "Fixed Income", 'Asset Class Tables and Dropdown'!A41 &lt;&gt; "Public Equity", 'Asset Class Tables and Dropdown'!A41 &lt;&gt; ""), 'Asset Class Tables and Dropdown'!A41, "")</f>
        <v xml:space="preserve">Constitution Capital Ironsides Co-Investment Fund VI </v>
      </c>
      <c r="D97" s="182">
        <f>SUMIF('Investment Proposal Inputs'!$M$29:$M$141, Investment_Proposal_Calculations51[[#This Row],[Ticker **Must Match Investment Proposal Inputs**]], 'Investment Proposal Inputs'!$N$29:$N$141)</f>
        <v>0</v>
      </c>
      <c r="E97"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98" spans="2:5">
      <c r="B98" t="str">
        <f>IF(OR('Asset Class Tables and Dropdown'!A42 &lt;&gt; "Real Estate", 'Asset Class Tables and Dropdown'!A42 &lt;&gt; "Name", 'Asset Class Tables and Dropdown'!A42 &lt;&gt; "Private Lending", 'Asset Class Tables and Dropdown'!A42 &lt;&gt; "Private Equity", 'Asset Class Tables and Dropdown'!A42 &lt;&gt; "Natural Resources", 'Asset Class Tables and Dropdown'!A42 &lt;&gt; "Absolute Return", 'Asset Class Tables and Dropdown'!A42 &lt;&gt; "Fixed Income", 'Asset Class Tables and Dropdown'!A42 &lt;&gt; "Public Equity", 'Asset Class Tables and Dropdown'!A42 &lt;&gt; ""), 'Asset Class Tables and Dropdown'!A42, "")</f>
        <v>Hamilton Lane Private Assets Fund</v>
      </c>
      <c r="D98" s="182">
        <f>SUMIF('Investment Proposal Inputs'!$M$29:$M$141, Investment_Proposal_Calculations51[[#This Row],[Ticker **Must Match Investment Proposal Inputs**]], 'Investment Proposal Inputs'!$N$29:$N$141)</f>
        <v>0</v>
      </c>
      <c r="E98"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99" spans="2:5">
      <c r="B99" t="str">
        <f>IF(OR('Asset Class Tables and Dropdown'!A43 &lt;&gt; "Real Estate", 'Asset Class Tables and Dropdown'!A43 &lt;&gt; "Name", 'Asset Class Tables and Dropdown'!A43 &lt;&gt; "Private Lending", 'Asset Class Tables and Dropdown'!A43 &lt;&gt; "Private Equity", 'Asset Class Tables and Dropdown'!A43 &lt;&gt; "Natural Resources", 'Asset Class Tables and Dropdown'!A43 &lt;&gt; "Absolute Return", 'Asset Class Tables and Dropdown'!A43 &lt;&gt; "Fixed Income", 'Asset Class Tables and Dropdown'!A43 &lt;&gt; "Public Equity", 'Asset Class Tables and Dropdown'!A43 &lt;&gt; ""), 'Asset Class Tables and Dropdown'!A43, "")</f>
        <v>Ironsides Co-Investment Fund</v>
      </c>
      <c r="D99" s="182">
        <f>SUMIF('Investment Proposal Inputs'!$M$29:$M$141, Investment_Proposal_Calculations51[[#This Row],[Ticker **Must Match Investment Proposal Inputs**]], 'Investment Proposal Inputs'!$N$29:$N$141)</f>
        <v>0</v>
      </c>
      <c r="E99"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00" spans="2:5">
      <c r="B100" t="str">
        <f>IF(OR('Asset Class Tables and Dropdown'!A44 &lt;&gt; "Real Estate", 'Asset Class Tables and Dropdown'!A44 &lt;&gt; "Name", 'Asset Class Tables and Dropdown'!A44 &lt;&gt; "Private Lending", 'Asset Class Tables and Dropdown'!A44 &lt;&gt; "Private Equity", 'Asset Class Tables and Dropdown'!A44 &lt;&gt; "Natural Resources", 'Asset Class Tables and Dropdown'!A44 &lt;&gt; "Absolute Return", 'Asset Class Tables and Dropdown'!A44 &lt;&gt; "Fixed Income", 'Asset Class Tables and Dropdown'!A44 &lt;&gt; "Public Equity", 'Asset Class Tables and Dropdown'!A44 &lt;&gt; ""), 'Asset Class Tables and Dropdown'!A44, "")</f>
        <v>Pomona Investment Fund</v>
      </c>
      <c r="D100" s="182">
        <f>SUMIF('Investment Proposal Inputs'!$M$29:$M$141, Investment_Proposal_Calculations51[[#This Row],[Ticker **Must Match Investment Proposal Inputs**]], 'Investment Proposal Inputs'!$N$29:$N$141)</f>
        <v>0</v>
      </c>
      <c r="E100"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01" spans="2:5">
      <c r="B101" t="str">
        <f>IF(OR('Asset Class Tables and Dropdown'!A45 &lt;&gt; "Real Estate", 'Asset Class Tables and Dropdown'!A45 &lt;&gt; "Name", 'Asset Class Tables and Dropdown'!A45 &lt;&gt; "Private Lending", 'Asset Class Tables and Dropdown'!A45 &lt;&gt; "Private Equity", 'Asset Class Tables and Dropdown'!A45 &lt;&gt; "Natural Resources", 'Asset Class Tables and Dropdown'!A45 &lt;&gt; "Absolute Return", 'Asset Class Tables and Dropdown'!A45 &lt;&gt; "Fixed Income", 'Asset Class Tables and Dropdown'!A45 &lt;&gt; "Public Equity", 'Asset Class Tables and Dropdown'!A45 &lt;&gt; ""), 'Asset Class Tables and Dropdown'!A45, "")</f>
        <v>Private Equity Opportunity</v>
      </c>
      <c r="D101" s="182">
        <f>SUMIF('Investment Proposal Inputs'!$M$29:$M$141, Investment_Proposal_Calculations51[[#This Row],[Ticker **Must Match Investment Proposal Inputs**]], 'Investment Proposal Inputs'!$N$29:$N$141)</f>
        <v>0</v>
      </c>
      <c r="E101"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02" spans="2:5">
      <c r="B102" t="str">
        <f>IF(OR('Asset Class Tables and Dropdown'!A46 &lt;&gt; "Real Estate", 'Asset Class Tables and Dropdown'!A46 &lt;&gt; "Name", 'Asset Class Tables and Dropdown'!A46 &lt;&gt; "Private Lending", 'Asset Class Tables and Dropdown'!A46 &lt;&gt; "Private Equity", 'Asset Class Tables and Dropdown'!A46 &lt;&gt; "Natural Resources", 'Asset Class Tables and Dropdown'!A46 &lt;&gt; "Absolute Return", 'Asset Class Tables and Dropdown'!A46 &lt;&gt; "Fixed Income", 'Asset Class Tables and Dropdown'!A46 &lt;&gt; "Public Equity", 'Asset Class Tables and Dropdown'!A46 &lt;&gt; ""), 'Asset Class Tables and Dropdown'!A46, "")</f>
        <v>Stepstone Private Markets Fund</v>
      </c>
      <c r="D102" s="182">
        <f>SUMIF('Investment Proposal Inputs'!$M$29:$M$141, Investment_Proposal_Calculations51[[#This Row],[Ticker **Must Match Investment Proposal Inputs**]], 'Investment Proposal Inputs'!$N$29:$N$141)</f>
        <v>0</v>
      </c>
      <c r="E102"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03" spans="2:5">
      <c r="B103">
        <f>IF(OR('Asset Class Tables and Dropdown'!A47 &lt;&gt; "Real Estate", 'Asset Class Tables and Dropdown'!A47 &lt;&gt; "Name", 'Asset Class Tables and Dropdown'!A47 &lt;&gt; "Private Lending", 'Asset Class Tables and Dropdown'!A47 &lt;&gt; "Private Equity", 'Asset Class Tables and Dropdown'!A47 &lt;&gt; "Natural Resources", 'Asset Class Tables and Dropdown'!A47 &lt;&gt; "Absolute Return", 'Asset Class Tables and Dropdown'!A47 &lt;&gt; "Fixed Income", 'Asset Class Tables and Dropdown'!A47 &lt;&gt; "Public Equity", 'Asset Class Tables and Dropdown'!A47 &lt;&gt; ""), 'Asset Class Tables and Dropdown'!A47, "")</f>
        <v>0</v>
      </c>
      <c r="D103" s="182">
        <f>SUMIF('Investment Proposal Inputs'!$M$29:$M$141, Investment_Proposal_Calculations51[[#This Row],[Ticker **Must Match Investment Proposal Inputs**]], 'Investment Proposal Inputs'!$N$29:$N$141)</f>
        <v>0</v>
      </c>
      <c r="E103"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104" spans="2:5">
      <c r="B104">
        <f>IF(OR('Asset Class Tables and Dropdown'!A48 &lt;&gt; "Real Estate", 'Asset Class Tables and Dropdown'!A48 &lt;&gt; "Name", 'Asset Class Tables and Dropdown'!A48 &lt;&gt; "Private Lending", 'Asset Class Tables and Dropdown'!A48 &lt;&gt; "Private Equity", 'Asset Class Tables and Dropdown'!A48 &lt;&gt; "Natural Resources", 'Asset Class Tables and Dropdown'!A48 &lt;&gt; "Absolute Return", 'Asset Class Tables and Dropdown'!A48 &lt;&gt; "Fixed Income", 'Asset Class Tables and Dropdown'!A48 &lt;&gt; "Public Equity", 'Asset Class Tables and Dropdown'!A48 &lt;&gt; ""), 'Asset Class Tables and Dropdown'!A48, "")</f>
        <v>0</v>
      </c>
      <c r="D104" s="182">
        <f>SUMIF('Investment Proposal Inputs'!$M$29:$M$141, Investment_Proposal_Calculations51[[#This Row],[Ticker **Must Match Investment Proposal Inputs**]], 'Investment Proposal Inputs'!$N$29:$N$141)</f>
        <v>0</v>
      </c>
      <c r="E104"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105" spans="2:5">
      <c r="B105">
        <f>IF(OR('Asset Class Tables and Dropdown'!A49 &lt;&gt; "Real Estate", 'Asset Class Tables and Dropdown'!A49 &lt;&gt; "Name", 'Asset Class Tables and Dropdown'!A49 &lt;&gt; "Private Lending", 'Asset Class Tables and Dropdown'!A49 &lt;&gt; "Private Equity", 'Asset Class Tables and Dropdown'!A49 &lt;&gt; "Natural Resources", 'Asset Class Tables and Dropdown'!A49 &lt;&gt; "Absolute Return", 'Asset Class Tables and Dropdown'!A49 &lt;&gt; "Fixed Income", 'Asset Class Tables and Dropdown'!A49 &lt;&gt; "Public Equity", 'Asset Class Tables and Dropdown'!A49 &lt;&gt; ""), 'Asset Class Tables and Dropdown'!A49, "")</f>
        <v>0</v>
      </c>
      <c r="D105" s="182">
        <f>SUMIF('Investment Proposal Inputs'!$M$29:$M$141, Investment_Proposal_Calculations51[[#This Row],[Ticker **Must Match Investment Proposal Inputs**]], 'Investment Proposal Inputs'!$N$29:$N$141)</f>
        <v>0</v>
      </c>
      <c r="E105"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106" spans="2:5">
      <c r="B106">
        <f>IF(OR('Asset Class Tables and Dropdown'!A50 &lt;&gt; "Real Estate", 'Asset Class Tables and Dropdown'!A50 &lt;&gt; "Name", 'Asset Class Tables and Dropdown'!A50 &lt;&gt; "Private Lending", 'Asset Class Tables and Dropdown'!A50 &lt;&gt; "Private Equity", 'Asset Class Tables and Dropdown'!A50 &lt;&gt; "Natural Resources", 'Asset Class Tables and Dropdown'!A50 &lt;&gt; "Absolute Return", 'Asset Class Tables and Dropdown'!A50 &lt;&gt; "Fixed Income", 'Asset Class Tables and Dropdown'!A50 &lt;&gt; "Public Equity", 'Asset Class Tables and Dropdown'!A50 &lt;&gt; ""), 'Asset Class Tables and Dropdown'!A50, "")</f>
        <v>0</v>
      </c>
      <c r="D106" s="182">
        <f>SUMIF('Investment Proposal Inputs'!$M$29:$M$141, Investment_Proposal_Calculations51[[#This Row],[Ticker **Must Match Investment Proposal Inputs**]], 'Investment Proposal Inputs'!$N$29:$N$141)</f>
        <v>0</v>
      </c>
      <c r="E106"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107" spans="2:5">
      <c r="B107">
        <f>IF(OR('Asset Class Tables and Dropdown'!A51 &lt;&gt; "Real Estate", 'Asset Class Tables and Dropdown'!A51 &lt;&gt; "Name", 'Asset Class Tables and Dropdown'!A51 &lt;&gt; "Private Lending", 'Asset Class Tables and Dropdown'!A51 &lt;&gt; "Private Equity", 'Asset Class Tables and Dropdown'!A51 &lt;&gt; "Natural Resources", 'Asset Class Tables and Dropdown'!A51 &lt;&gt; "Absolute Return", 'Asset Class Tables and Dropdown'!A51 &lt;&gt; "Fixed Income", 'Asset Class Tables and Dropdown'!A51 &lt;&gt; "Public Equity", 'Asset Class Tables and Dropdown'!A51 &lt;&gt; ""), 'Asset Class Tables and Dropdown'!A51, "")</f>
        <v>0</v>
      </c>
      <c r="D107" s="182">
        <f>SUMIF('Investment Proposal Inputs'!$M$29:$M$141, Investment_Proposal_Calculations51[[#This Row],[Ticker **Must Match Investment Proposal Inputs**]], 'Investment Proposal Inputs'!$N$29:$N$141)</f>
        <v>0</v>
      </c>
      <c r="E107"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108" spans="2:5">
      <c r="B108" t="str">
        <f>IF(OR('Asset Class Tables and Dropdown'!A52 &lt;&gt; "Real Estate", 'Asset Class Tables and Dropdown'!A52 &lt;&gt; "Name", 'Asset Class Tables and Dropdown'!A52 &lt;&gt; "Private Lending", 'Asset Class Tables and Dropdown'!A52 &lt;&gt; "Private Equity", 'Asset Class Tables and Dropdown'!A52 &lt;&gt; "Natural Resources", 'Asset Class Tables and Dropdown'!A52 &lt;&gt; "Absolute Return", 'Asset Class Tables and Dropdown'!A52 &lt;&gt; "Fixed Income", 'Asset Class Tables and Dropdown'!A52 &lt;&gt; "Public Equity", 'Asset Class Tables and Dropdown'!A52 &lt;&gt; ""), 'Asset Class Tables and Dropdown'!A52, "")</f>
        <v>Natural Resources</v>
      </c>
      <c r="D108" s="182">
        <f>SUMIF('Investment Proposal Inputs'!$M$29:$M$141, Investment_Proposal_Calculations51[[#This Row],[Ticker **Must Match Investment Proposal Inputs**]], 'Investment Proposal Inputs'!$N$29:$N$141)</f>
        <v>0</v>
      </c>
      <c r="E108"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109" spans="2:5">
      <c r="B109" t="str">
        <f>IF(OR('Asset Class Tables and Dropdown'!A53 &lt;&gt; "Real Estate", 'Asset Class Tables and Dropdown'!A53 &lt;&gt; "Name", 'Asset Class Tables and Dropdown'!A53 &lt;&gt; "Private Lending", 'Asset Class Tables and Dropdown'!A53 &lt;&gt; "Private Equity", 'Asset Class Tables and Dropdown'!A53 &lt;&gt; "Natural Resources", 'Asset Class Tables and Dropdown'!A53 &lt;&gt; "Absolute Return", 'Asset Class Tables and Dropdown'!A53 &lt;&gt; "Fixed Income", 'Asset Class Tables and Dropdown'!A53 &lt;&gt; "Public Equity", 'Asset Class Tables and Dropdown'!A53 &lt;&gt; ""), 'Asset Class Tables and Dropdown'!A53, "")</f>
        <v>Name</v>
      </c>
      <c r="D109" s="182">
        <f>SUMIF('Investment Proposal Inputs'!$M$29:$M$141, Investment_Proposal_Calculations51[[#This Row],[Ticker **Must Match Investment Proposal Inputs**]], 'Investment Proposal Inputs'!$N$29:$N$141)</f>
        <v>0</v>
      </c>
      <c r="E109"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110" spans="2:5">
      <c r="B110" t="str">
        <f>IF(OR('Asset Class Tables and Dropdown'!A54 &lt;&gt; "Real Estate", 'Asset Class Tables and Dropdown'!A54 &lt;&gt; "Name", 'Asset Class Tables and Dropdown'!A54 &lt;&gt; "Private Lending", 'Asset Class Tables and Dropdown'!A54 &lt;&gt; "Private Equity", 'Asset Class Tables and Dropdown'!A54 &lt;&gt; "Natural Resources", 'Asset Class Tables and Dropdown'!A54 &lt;&gt; "Absolute Return", 'Asset Class Tables and Dropdown'!A54 &lt;&gt; "Fixed Income", 'Asset Class Tables and Dropdown'!A54 &lt;&gt; "Public Equity", 'Asset Class Tables and Dropdown'!A54 &lt;&gt; ""), 'Asset Class Tables and Dropdown'!A54, "")</f>
        <v>APX</v>
      </c>
      <c r="D110" s="182">
        <f>SUMIF('Investment Proposal Inputs'!$M$29:$M$141, Investment_Proposal_Calculations51[[#This Row],[Ticker **Must Match Investment Proposal Inputs**]], 'Investment Proposal Inputs'!$N$29:$N$141)</f>
        <v>0</v>
      </c>
      <c r="E110"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11" spans="2:5">
      <c r="B111" t="str">
        <f>IF(OR('Asset Class Tables and Dropdown'!A55 &lt;&gt; "Real Estate", 'Asset Class Tables and Dropdown'!A55 &lt;&gt; "Name", 'Asset Class Tables and Dropdown'!A55 &lt;&gt; "Private Lending", 'Asset Class Tables and Dropdown'!A55 &lt;&gt; "Private Equity", 'Asset Class Tables and Dropdown'!A55 &lt;&gt; "Natural Resources", 'Asset Class Tables and Dropdown'!A55 &lt;&gt; "Absolute Return", 'Asset Class Tables and Dropdown'!A55 &lt;&gt; "Fixed Income", 'Asset Class Tables and Dropdown'!A55 &lt;&gt; "Public Equity", 'Asset Class Tables and Dropdown'!A55 &lt;&gt; ""), 'Asset Class Tables and Dropdown'!A55, "")</f>
        <v>Chevron</v>
      </c>
      <c r="D111" s="182">
        <f>SUMIF('Investment Proposal Inputs'!$M$29:$M$141, Investment_Proposal_Calculations51[[#This Row],[Ticker **Must Match Investment Proposal Inputs**]], 'Investment Proposal Inputs'!$N$29:$N$141)</f>
        <v>0</v>
      </c>
      <c r="E111"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12" spans="2:5">
      <c r="B112" t="str">
        <f>IF(OR('Asset Class Tables and Dropdown'!A56 &lt;&gt; "Real Estate", 'Asset Class Tables and Dropdown'!A56 &lt;&gt; "Name", 'Asset Class Tables and Dropdown'!A56 &lt;&gt; "Private Lending", 'Asset Class Tables and Dropdown'!A56 &lt;&gt; "Private Equity", 'Asset Class Tables and Dropdown'!A56 &lt;&gt; "Natural Resources", 'Asset Class Tables and Dropdown'!A56 &lt;&gt; "Absolute Return", 'Asset Class Tables and Dropdown'!A56 &lt;&gt; "Fixed Income", 'Asset Class Tables and Dropdown'!A56 &lt;&gt; "Public Equity", 'Asset Class Tables and Dropdown'!A56 &lt;&gt; ""), 'Asset Class Tables and Dropdown'!A56, "")</f>
        <v>Exxon</v>
      </c>
      <c r="D112" s="182">
        <f>SUMIF('Investment Proposal Inputs'!$M$29:$M$141, Investment_Proposal_Calculations51[[#This Row],[Ticker **Must Match Investment Proposal Inputs**]], 'Investment Proposal Inputs'!$N$29:$N$141)</f>
        <v>0</v>
      </c>
      <c r="E112"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13" spans="2:5">
      <c r="B113" t="str">
        <f>IF(OR('Asset Class Tables and Dropdown'!A57 &lt;&gt; "Real Estate", 'Asset Class Tables and Dropdown'!A57 &lt;&gt; "Name", 'Asset Class Tables and Dropdown'!A57 &lt;&gt; "Private Lending", 'Asset Class Tables and Dropdown'!A57 &lt;&gt; "Private Equity", 'Asset Class Tables and Dropdown'!A57 &lt;&gt; "Natural Resources", 'Asset Class Tables and Dropdown'!A57 &lt;&gt; "Absolute Return", 'Asset Class Tables and Dropdown'!A57 &lt;&gt; "Fixed Income", 'Asset Class Tables and Dropdown'!A57 &lt;&gt; "Public Equity", 'Asset Class Tables and Dropdown'!A57 &lt;&gt; ""), 'Asset Class Tables and Dropdown'!A57, "")</f>
        <v xml:space="preserve">Invesco Oppenheimer MLP SteelPath Alpha </v>
      </c>
      <c r="D113" s="182">
        <f>SUMIF('Investment Proposal Inputs'!$M$29:$M$141, Investment_Proposal_Calculations51[[#This Row],[Ticker **Must Match Investment Proposal Inputs**]], 'Investment Proposal Inputs'!$N$29:$N$141)</f>
        <v>0</v>
      </c>
      <c r="E113"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14" spans="2:5">
      <c r="B114" t="str">
        <f>IF(OR('Asset Class Tables and Dropdown'!A58 &lt;&gt; "Real Estate", 'Asset Class Tables and Dropdown'!A58 &lt;&gt; "Name", 'Asset Class Tables and Dropdown'!A58 &lt;&gt; "Private Lending", 'Asset Class Tables and Dropdown'!A58 &lt;&gt; "Private Equity", 'Asset Class Tables and Dropdown'!A58 &lt;&gt; "Natural Resources", 'Asset Class Tables and Dropdown'!A58 &lt;&gt; "Absolute Return", 'Asset Class Tables and Dropdown'!A58 &lt;&gt; "Fixed Income", 'Asset Class Tables and Dropdown'!A58 &lt;&gt; "Public Equity", 'Asset Class Tables and Dropdown'!A58 &lt;&gt; ""), 'Asset Class Tables and Dropdown'!A58, "")</f>
        <v>Invesco Oppenheimer MLP SteelPath Income</v>
      </c>
      <c r="D114" s="182">
        <f>SUMIF('Investment Proposal Inputs'!$M$29:$M$141, Investment_Proposal_Calculations51[[#This Row],[Ticker **Must Match Investment Proposal Inputs**]], 'Investment Proposal Inputs'!$N$29:$N$141)</f>
        <v>0</v>
      </c>
      <c r="E114"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15" spans="2:5">
      <c r="B115" t="str">
        <f>IF(OR('Asset Class Tables and Dropdown'!A59 &lt;&gt; "Real Estate", 'Asset Class Tables and Dropdown'!A59 &lt;&gt; "Name", 'Asset Class Tables and Dropdown'!A59 &lt;&gt; "Private Lending", 'Asset Class Tables and Dropdown'!A59 &lt;&gt; "Private Equity", 'Asset Class Tables and Dropdown'!A59 &lt;&gt; "Natural Resources", 'Asset Class Tables and Dropdown'!A59 &lt;&gt; "Absolute Return", 'Asset Class Tables and Dropdown'!A59 &lt;&gt; "Fixed Income", 'Asset Class Tables and Dropdown'!A59 &lt;&gt; "Public Equity", 'Asset Class Tables and Dropdown'!A59 &lt;&gt; ""), 'Asset Class Tables and Dropdown'!A59, "")</f>
        <v>PGIM Jennison MLP</v>
      </c>
      <c r="D115" s="182">
        <f>SUMIF('Investment Proposal Inputs'!$M$29:$M$141, Investment_Proposal_Calculations51[[#This Row],[Ticker **Must Match Investment Proposal Inputs**]], 'Investment Proposal Inputs'!$N$29:$N$141)</f>
        <v>0</v>
      </c>
      <c r="E115"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16" spans="2:5">
      <c r="B116">
        <f>IF(OR('Asset Class Tables and Dropdown'!A60 &lt;&gt; "Real Estate", 'Asset Class Tables and Dropdown'!A60 &lt;&gt; "Name", 'Asset Class Tables and Dropdown'!A60 &lt;&gt; "Private Lending", 'Asset Class Tables and Dropdown'!A60 &lt;&gt; "Private Equity", 'Asset Class Tables and Dropdown'!A60 &lt;&gt; "Natural Resources", 'Asset Class Tables and Dropdown'!A60 &lt;&gt; "Absolute Return", 'Asset Class Tables and Dropdown'!A60 &lt;&gt; "Fixed Income", 'Asset Class Tables and Dropdown'!A60 &lt;&gt; "Public Equity", 'Asset Class Tables and Dropdown'!A60 &lt;&gt; ""), 'Asset Class Tables and Dropdown'!A60, "")</f>
        <v>0</v>
      </c>
      <c r="D116" s="182">
        <f>SUMIF('Investment Proposal Inputs'!$M$29:$M$141, Investment_Proposal_Calculations51[[#This Row],[Ticker **Must Match Investment Proposal Inputs**]], 'Investment Proposal Inputs'!$N$29:$N$141)</f>
        <v>0</v>
      </c>
      <c r="E116"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117" spans="2:5">
      <c r="B117">
        <f>IF(OR('Asset Class Tables and Dropdown'!A61 &lt;&gt; "Real Estate", 'Asset Class Tables and Dropdown'!A61 &lt;&gt; "Name", 'Asset Class Tables and Dropdown'!A61 &lt;&gt; "Private Lending", 'Asset Class Tables and Dropdown'!A61 &lt;&gt; "Private Equity", 'Asset Class Tables and Dropdown'!A61 &lt;&gt; "Natural Resources", 'Asset Class Tables and Dropdown'!A61 &lt;&gt; "Absolute Return", 'Asset Class Tables and Dropdown'!A61 &lt;&gt; "Fixed Income", 'Asset Class Tables and Dropdown'!A61 &lt;&gt; "Public Equity", 'Asset Class Tables and Dropdown'!A61 &lt;&gt; ""), 'Asset Class Tables and Dropdown'!A61, "")</f>
        <v>0</v>
      </c>
      <c r="D117" s="182">
        <f>SUMIF('Investment Proposal Inputs'!$M$29:$M$141, Investment_Proposal_Calculations51[[#This Row],[Ticker **Must Match Investment Proposal Inputs**]], 'Investment Proposal Inputs'!$N$29:$N$141)</f>
        <v>0</v>
      </c>
      <c r="E117"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118" spans="2:5">
      <c r="B118">
        <f>IF(OR('Asset Class Tables and Dropdown'!A62 &lt;&gt; "Real Estate", 'Asset Class Tables and Dropdown'!A62 &lt;&gt; "Name", 'Asset Class Tables and Dropdown'!A62 &lt;&gt; "Private Lending", 'Asset Class Tables and Dropdown'!A62 &lt;&gt; "Private Equity", 'Asset Class Tables and Dropdown'!A62 &lt;&gt; "Natural Resources", 'Asset Class Tables and Dropdown'!A62 &lt;&gt; "Absolute Return", 'Asset Class Tables and Dropdown'!A62 &lt;&gt; "Fixed Income", 'Asset Class Tables and Dropdown'!A62 &lt;&gt; "Public Equity", 'Asset Class Tables and Dropdown'!A62 &lt;&gt; ""), 'Asset Class Tables and Dropdown'!A62, "")</f>
        <v>0</v>
      </c>
      <c r="D118" s="182">
        <f>SUMIF('Investment Proposal Inputs'!$M$29:$M$141, Investment_Proposal_Calculations51[[#This Row],[Ticker **Must Match Investment Proposal Inputs**]], 'Investment Proposal Inputs'!$N$29:$N$141)</f>
        <v>0</v>
      </c>
      <c r="E118"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119" spans="2:5">
      <c r="B119">
        <f>IF(OR('Asset Class Tables and Dropdown'!A63 &lt;&gt; "Real Estate", 'Asset Class Tables and Dropdown'!A63 &lt;&gt; "Name", 'Asset Class Tables and Dropdown'!A63 &lt;&gt; "Private Lending", 'Asset Class Tables and Dropdown'!A63 &lt;&gt; "Private Equity", 'Asset Class Tables and Dropdown'!A63 &lt;&gt; "Natural Resources", 'Asset Class Tables and Dropdown'!A63 &lt;&gt; "Absolute Return", 'Asset Class Tables and Dropdown'!A63 &lt;&gt; "Fixed Income", 'Asset Class Tables and Dropdown'!A63 &lt;&gt; "Public Equity", 'Asset Class Tables and Dropdown'!A63 &lt;&gt; ""), 'Asset Class Tables and Dropdown'!A63, "")</f>
        <v>0</v>
      </c>
      <c r="D119" s="182">
        <f>SUMIF('Investment Proposal Inputs'!$M$29:$M$141, Investment_Proposal_Calculations51[[#This Row],[Ticker **Must Match Investment Proposal Inputs**]], 'Investment Proposal Inputs'!$N$29:$N$141)</f>
        <v>0</v>
      </c>
      <c r="E119"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120" spans="2:5">
      <c r="B120" t="str">
        <f>IF(OR('Asset Class Tables and Dropdown'!A64 &lt;&gt; "Real Estate", 'Asset Class Tables and Dropdown'!A64 &lt;&gt; "Name", 'Asset Class Tables and Dropdown'!A64 &lt;&gt; "Private Lending", 'Asset Class Tables and Dropdown'!A64 &lt;&gt; "Private Equity", 'Asset Class Tables and Dropdown'!A64 &lt;&gt; "Natural Resources", 'Asset Class Tables and Dropdown'!A64 &lt;&gt; "Absolute Return", 'Asset Class Tables and Dropdown'!A64 &lt;&gt; "Fixed Income", 'Asset Class Tables and Dropdown'!A64 &lt;&gt; "Public Equity", 'Asset Class Tables and Dropdown'!A64 &lt;&gt; ""), 'Asset Class Tables and Dropdown'!A64, "")</f>
        <v>Absolute Return</v>
      </c>
      <c r="D120" s="182">
        <f>SUMIF('Investment Proposal Inputs'!$M$29:$M$141, Investment_Proposal_Calculations51[[#This Row],[Ticker **Must Match Investment Proposal Inputs**]], 'Investment Proposal Inputs'!$N$29:$N$141)</f>
        <v>0</v>
      </c>
      <c r="E120"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121" spans="2:5">
      <c r="B121" t="str">
        <f>IF(OR('Asset Class Tables and Dropdown'!A65 &lt;&gt; "Real Estate", 'Asset Class Tables and Dropdown'!A65 &lt;&gt; "Name", 'Asset Class Tables and Dropdown'!A65 &lt;&gt; "Private Lending", 'Asset Class Tables and Dropdown'!A65 &lt;&gt; "Private Equity", 'Asset Class Tables and Dropdown'!A65 &lt;&gt; "Natural Resources", 'Asset Class Tables and Dropdown'!A65 &lt;&gt; "Absolute Return", 'Asset Class Tables and Dropdown'!A65 &lt;&gt; "Fixed Income", 'Asset Class Tables and Dropdown'!A65 &lt;&gt; "Public Equity", 'Asset Class Tables and Dropdown'!A65 &lt;&gt; ""), 'Asset Class Tables and Dropdown'!A65, "")</f>
        <v>Name</v>
      </c>
      <c r="D121" s="182">
        <f>SUMIF('Investment Proposal Inputs'!$M$29:$M$141, Investment_Proposal_Calculations51[[#This Row],[Ticker **Must Match Investment Proposal Inputs**]], 'Investment Proposal Inputs'!$N$29:$N$141)</f>
        <v>0</v>
      </c>
      <c r="E121"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122" spans="2:5">
      <c r="B122" t="str">
        <f>IF(OR('Asset Class Tables and Dropdown'!A66 &lt;&gt; "Real Estate", 'Asset Class Tables and Dropdown'!A66 &lt;&gt; "Name", 'Asset Class Tables and Dropdown'!A66 &lt;&gt; "Private Lending", 'Asset Class Tables and Dropdown'!A66 &lt;&gt; "Private Equity", 'Asset Class Tables and Dropdown'!A66 &lt;&gt; "Natural Resources", 'Asset Class Tables and Dropdown'!A66 &lt;&gt; "Absolute Return", 'Asset Class Tables and Dropdown'!A66 &lt;&gt; "Fixed Income", 'Asset Class Tables and Dropdown'!A66 &lt;&gt; "Public Equity", 'Asset Class Tables and Dropdown'!A66 &lt;&gt; ""), 'Asset Class Tables and Dropdown'!A66, "")</f>
        <v>Allianz Index Advantage</v>
      </c>
      <c r="D122" s="182">
        <f>SUMIF('Investment Proposal Inputs'!$M$29:$M$141, Investment_Proposal_Calculations51[[#This Row],[Ticker **Must Match Investment Proposal Inputs**]], 'Investment Proposal Inputs'!$N$29:$N$141)</f>
        <v>0</v>
      </c>
      <c r="E122"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23" spans="2:5">
      <c r="B123" t="str">
        <f>IF(OR('Asset Class Tables and Dropdown'!A67 &lt;&gt; "Real Estate", 'Asset Class Tables and Dropdown'!A67 &lt;&gt; "Name", 'Asset Class Tables and Dropdown'!A67 &lt;&gt; "Private Lending", 'Asset Class Tables and Dropdown'!A67 &lt;&gt; "Private Equity", 'Asset Class Tables and Dropdown'!A67 &lt;&gt; "Natural Resources", 'Asset Class Tables and Dropdown'!A67 &lt;&gt; "Absolute Return", 'Asset Class Tables and Dropdown'!A67 &lt;&gt; "Fixed Income", 'Asset Class Tables and Dropdown'!A67 &lt;&gt; "Public Equity", 'Asset Class Tables and Dropdown'!A67 &lt;&gt; ""), 'Asset Class Tables and Dropdown'!A67, "")</f>
        <v>Bluerock Preferred</v>
      </c>
      <c r="D123" s="182">
        <f>SUMIF('Investment Proposal Inputs'!$M$29:$M$141, Investment_Proposal_Calculations51[[#This Row],[Ticker **Must Match Investment Proposal Inputs**]], 'Investment Proposal Inputs'!$N$29:$N$141)</f>
        <v>0</v>
      </c>
      <c r="E123"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24" spans="2:5">
      <c r="B124" t="str">
        <f>IF(OR('Asset Class Tables and Dropdown'!A68 &lt;&gt; "Real Estate", 'Asset Class Tables and Dropdown'!A68 &lt;&gt; "Name", 'Asset Class Tables and Dropdown'!A68 &lt;&gt; "Private Lending", 'Asset Class Tables and Dropdown'!A68 &lt;&gt; "Private Equity", 'Asset Class Tables and Dropdown'!A68 &lt;&gt; "Natural Resources", 'Asset Class Tables and Dropdown'!A68 &lt;&gt; "Absolute Return", 'Asset Class Tables and Dropdown'!A68 &lt;&gt; "Fixed Income", 'Asset Class Tables and Dropdown'!A68 &lt;&gt; "Public Equity", 'Asset Class Tables and Dropdown'!A68 &lt;&gt; ""), 'Asset Class Tables and Dropdown'!A68, "")</f>
        <v>Calamos Hedged Equity</v>
      </c>
      <c r="D124" s="182">
        <f>SUMIF('Investment Proposal Inputs'!$M$29:$M$141, Investment_Proposal_Calculations51[[#This Row],[Ticker **Must Match Investment Proposal Inputs**]], 'Investment Proposal Inputs'!$N$29:$N$141)</f>
        <v>0</v>
      </c>
      <c r="E124"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25" spans="2:5">
      <c r="B125" t="str">
        <f>IF(OR('Asset Class Tables and Dropdown'!A69 &lt;&gt; "Real Estate", 'Asset Class Tables and Dropdown'!A69 &lt;&gt; "Name", 'Asset Class Tables and Dropdown'!A69 &lt;&gt; "Private Lending", 'Asset Class Tables and Dropdown'!A69 &lt;&gt; "Private Equity", 'Asset Class Tables and Dropdown'!A69 &lt;&gt; "Natural Resources", 'Asset Class Tables and Dropdown'!A69 &lt;&gt; "Absolute Return", 'Asset Class Tables and Dropdown'!A69 &lt;&gt; "Fixed Income", 'Asset Class Tables and Dropdown'!A69 &lt;&gt; "Public Equity", 'Asset Class Tables and Dropdown'!A69 &lt;&gt; ""), 'Asset Class Tables and Dropdown'!A69, "")</f>
        <v>First Trust Target Outcome ETFs - Buffered</v>
      </c>
      <c r="D125" s="182">
        <f>SUMIF('Investment Proposal Inputs'!$M$29:$M$141, Investment_Proposal_Calculations51[[#This Row],[Ticker **Must Match Investment Proposal Inputs**]], 'Investment Proposal Inputs'!$N$29:$N$141)</f>
        <v>0</v>
      </c>
      <c r="E125"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26" spans="2:5">
      <c r="B126" t="str">
        <f>IF(OR('Asset Class Tables and Dropdown'!A70 &lt;&gt; "Real Estate", 'Asset Class Tables and Dropdown'!A70 &lt;&gt; "Name", 'Asset Class Tables and Dropdown'!A70 &lt;&gt; "Private Lending", 'Asset Class Tables and Dropdown'!A70 &lt;&gt; "Private Equity", 'Asset Class Tables and Dropdown'!A70 &lt;&gt; "Natural Resources", 'Asset Class Tables and Dropdown'!A70 &lt;&gt; "Absolute Return", 'Asset Class Tables and Dropdown'!A70 &lt;&gt; "Fixed Income", 'Asset Class Tables and Dropdown'!A70 &lt;&gt; "Public Equity", 'Asset Class Tables and Dropdown'!A70 &lt;&gt; ""), 'Asset Class Tables and Dropdown'!A70, "")</f>
        <v>First Trust Target Outcome ETFs - Deep Buffered </v>
      </c>
      <c r="D126" s="182">
        <f>SUMIF('Investment Proposal Inputs'!$M$29:$M$141, Investment_Proposal_Calculations51[[#This Row],[Ticker **Must Match Investment Proposal Inputs**]], 'Investment Proposal Inputs'!$N$29:$N$141)</f>
        <v>0</v>
      </c>
      <c r="E126"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27" spans="2:5">
      <c r="B127" t="str">
        <f>IF(OR('Asset Class Tables and Dropdown'!A71 &lt;&gt; "Real Estate", 'Asset Class Tables and Dropdown'!A71 &lt;&gt; "Name", 'Asset Class Tables and Dropdown'!A71 &lt;&gt; "Private Lending", 'Asset Class Tables and Dropdown'!A71 &lt;&gt; "Private Equity", 'Asset Class Tables and Dropdown'!A71 &lt;&gt; "Natural Resources", 'Asset Class Tables and Dropdown'!A71 &lt;&gt; "Absolute Return", 'Asset Class Tables and Dropdown'!A71 &lt;&gt; "Fixed Income", 'Asset Class Tables and Dropdown'!A71 &lt;&gt; "Public Equity", 'Asset Class Tables and Dropdown'!A71 &lt;&gt; ""), 'Asset Class Tables and Dropdown'!A71, "")</f>
        <v>Jackson National FIA</v>
      </c>
      <c r="D127" s="182">
        <f>SUMIF('Investment Proposal Inputs'!$M$29:$M$141, Investment_Proposal_Calculations51[[#This Row],[Ticker **Must Match Investment Proposal Inputs**]], 'Investment Proposal Inputs'!$N$29:$N$141)</f>
        <v>0</v>
      </c>
      <c r="E127"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28" spans="2:5">
      <c r="B128" t="str">
        <f>IF(OR('Asset Class Tables and Dropdown'!A72 &lt;&gt; "Real Estate", 'Asset Class Tables and Dropdown'!A72 &lt;&gt; "Name", 'Asset Class Tables and Dropdown'!A72 &lt;&gt; "Private Lending", 'Asset Class Tables and Dropdown'!A72 &lt;&gt; "Private Equity", 'Asset Class Tables and Dropdown'!A72 &lt;&gt; "Natural Resources", 'Asset Class Tables and Dropdown'!A72 &lt;&gt; "Absolute Return", 'Asset Class Tables and Dropdown'!A72 &lt;&gt; "Fixed Income", 'Asset Class Tables and Dropdown'!A72 &lt;&gt; "Public Equity", 'Asset Class Tables and Dropdown'!A72 &lt;&gt; ""), 'Asset Class Tables and Dropdown'!A72, "")</f>
        <v>Jackson National Perspective II</v>
      </c>
      <c r="D128" s="182">
        <f>SUMIF('Investment Proposal Inputs'!$M$29:$M$141, Investment_Proposal_Calculations51[[#This Row],[Ticker **Must Match Investment Proposal Inputs**]], 'Investment Proposal Inputs'!$N$29:$N$141)</f>
        <v>0</v>
      </c>
      <c r="E128"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29" spans="2:5">
      <c r="B129" t="str">
        <f>IF(OR('Asset Class Tables and Dropdown'!A73 &lt;&gt; "Real Estate", 'Asset Class Tables and Dropdown'!A73 &lt;&gt; "Name", 'Asset Class Tables and Dropdown'!A73 &lt;&gt; "Private Lending", 'Asset Class Tables and Dropdown'!A73 &lt;&gt; "Private Equity", 'Asset Class Tables and Dropdown'!A73 &lt;&gt; "Natural Resources", 'Asset Class Tables and Dropdown'!A73 &lt;&gt; "Absolute Return", 'Asset Class Tables and Dropdown'!A73 &lt;&gt; "Fixed Income", 'Asset Class Tables and Dropdown'!A73 &lt;&gt; "Public Equity", 'Asset Class Tables and Dropdown'!A73 &lt;&gt; ""), 'Asset Class Tables and Dropdown'!A73, "")</f>
        <v>JPMorgan Hedged Equity</v>
      </c>
      <c r="D129" s="182">
        <f>SUMIF('Investment Proposal Inputs'!$M$29:$M$141, Investment_Proposal_Calculations51[[#This Row],[Ticker **Must Match Investment Proposal Inputs**]], 'Investment Proposal Inputs'!$N$29:$N$141)</f>
        <v>0</v>
      </c>
      <c r="E129"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30" spans="2:5">
      <c r="B130" t="str">
        <f>IF(OR('Asset Class Tables and Dropdown'!A74 &lt;&gt; "Real Estate", 'Asset Class Tables and Dropdown'!A74 &lt;&gt; "Name", 'Asset Class Tables and Dropdown'!A74 &lt;&gt; "Private Lending", 'Asset Class Tables and Dropdown'!A74 &lt;&gt; "Private Equity", 'Asset Class Tables and Dropdown'!A74 &lt;&gt; "Natural Resources", 'Asset Class Tables and Dropdown'!A74 &lt;&gt; "Absolute Return", 'Asset Class Tables and Dropdown'!A74 &lt;&gt; "Fixed Income", 'Asset Class Tables and Dropdown'!A74 &lt;&gt; "Public Equity", 'Asset Class Tables and Dropdown'!A74 &lt;&gt; ""), 'Asset Class Tables and Dropdown'!A74, "")</f>
        <v>NexPoint Merger Arbitrage Fund</v>
      </c>
      <c r="D130" s="182">
        <f>SUMIF('Investment Proposal Inputs'!$M$29:$M$141, Investment_Proposal_Calculations51[[#This Row],[Ticker **Must Match Investment Proposal Inputs**]], 'Investment Proposal Inputs'!$N$29:$N$141)</f>
        <v>0</v>
      </c>
      <c r="E130"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31" spans="2:5">
      <c r="B131" t="str">
        <f>IF(OR('Asset Class Tables and Dropdown'!A75 &lt;&gt; "Real Estate", 'Asset Class Tables and Dropdown'!A75 &lt;&gt; "Name", 'Asset Class Tables and Dropdown'!A75 &lt;&gt; "Private Lending", 'Asset Class Tables and Dropdown'!A75 &lt;&gt; "Private Equity", 'Asset Class Tables and Dropdown'!A75 &lt;&gt; "Natural Resources", 'Asset Class Tables and Dropdown'!A75 &lt;&gt; "Absolute Return", 'Asset Class Tables and Dropdown'!A75 &lt;&gt; "Fixed Income", 'Asset Class Tables and Dropdown'!A75 &lt;&gt; "Public Equity", 'Asset Class Tables and Dropdown'!A75 &lt;&gt; ""), 'Asset Class Tables and Dropdown'!A75, "")</f>
        <v>S&amp;P500 Market Linked CD</v>
      </c>
      <c r="D131" s="182">
        <f>SUMIF('Investment Proposal Inputs'!$M$29:$M$141, Investment_Proposal_Calculations51[[#This Row],[Ticker **Must Match Investment Proposal Inputs**]], 'Investment Proposal Inputs'!$N$29:$N$141)</f>
        <v>0</v>
      </c>
      <c r="E131"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32" spans="2:5">
      <c r="B132" t="str">
        <f>IF(OR('Asset Class Tables and Dropdown'!A76 &lt;&gt; "Real Estate", 'Asset Class Tables and Dropdown'!A76 &lt;&gt; "Name", 'Asset Class Tables and Dropdown'!A76 &lt;&gt; "Private Lending", 'Asset Class Tables and Dropdown'!A76 &lt;&gt; "Private Equity", 'Asset Class Tables and Dropdown'!A76 &lt;&gt; "Natural Resources", 'Asset Class Tables and Dropdown'!A76 &lt;&gt; "Absolute Return", 'Asset Class Tables and Dropdown'!A76 &lt;&gt; "Fixed Income", 'Asset Class Tables and Dropdown'!A76 &lt;&gt; "Public Equity", 'Asset Class Tables and Dropdown'!A76 &lt;&gt; ""), 'Asset Class Tables and Dropdown'!A76, "")</f>
        <v>Swan Defined Risk Growth Fund</v>
      </c>
      <c r="D132" s="182">
        <f>SUMIF('Investment Proposal Inputs'!$M$29:$M$141, Investment_Proposal_Calculations51[[#This Row],[Ticker **Must Match Investment Proposal Inputs**]], 'Investment Proposal Inputs'!$N$29:$N$141)</f>
        <v>0</v>
      </c>
      <c r="E132"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33" spans="2:5">
      <c r="B133">
        <f>IF(OR('Asset Class Tables and Dropdown'!A77 &lt;&gt; "Real Estate", 'Asset Class Tables and Dropdown'!A77 &lt;&gt; "Name", 'Asset Class Tables and Dropdown'!A77 &lt;&gt; "Private Lending", 'Asset Class Tables and Dropdown'!A77 &lt;&gt; "Private Equity", 'Asset Class Tables and Dropdown'!A77 &lt;&gt; "Natural Resources", 'Asset Class Tables and Dropdown'!A77 &lt;&gt; "Absolute Return", 'Asset Class Tables and Dropdown'!A77 &lt;&gt; "Fixed Income", 'Asset Class Tables and Dropdown'!A77 &lt;&gt; "Public Equity", 'Asset Class Tables and Dropdown'!A77 &lt;&gt; ""), 'Asset Class Tables and Dropdown'!A77, "")</f>
        <v>0</v>
      </c>
      <c r="D133" s="182">
        <f>SUMIF('Investment Proposal Inputs'!$M$29:$M$141, Investment_Proposal_Calculations51[[#This Row],[Ticker **Must Match Investment Proposal Inputs**]], 'Investment Proposal Inputs'!$N$29:$N$141)</f>
        <v>0</v>
      </c>
      <c r="E133"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134" spans="2:5">
      <c r="B134">
        <f>IF(OR('Asset Class Tables and Dropdown'!A78 &lt;&gt; "Real Estate", 'Asset Class Tables and Dropdown'!A78 &lt;&gt; "Name", 'Asset Class Tables and Dropdown'!A78 &lt;&gt; "Private Lending", 'Asset Class Tables and Dropdown'!A78 &lt;&gt; "Private Equity", 'Asset Class Tables and Dropdown'!A78 &lt;&gt; "Natural Resources", 'Asset Class Tables and Dropdown'!A78 &lt;&gt; "Absolute Return", 'Asset Class Tables and Dropdown'!A78 &lt;&gt; "Fixed Income", 'Asset Class Tables and Dropdown'!A78 &lt;&gt; "Public Equity", 'Asset Class Tables and Dropdown'!A78 &lt;&gt; ""), 'Asset Class Tables and Dropdown'!A78, "")</f>
        <v>0</v>
      </c>
      <c r="D134" s="182">
        <f>SUMIF('Investment Proposal Inputs'!$M$29:$M$141, Investment_Proposal_Calculations51[[#This Row],[Ticker **Must Match Investment Proposal Inputs**]], 'Investment Proposal Inputs'!$N$29:$N$141)</f>
        <v>0</v>
      </c>
      <c r="E134"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135" spans="2:5">
      <c r="B135">
        <f>IF(OR('Asset Class Tables and Dropdown'!A79 &lt;&gt; "Real Estate", 'Asset Class Tables and Dropdown'!A79 &lt;&gt; "Name", 'Asset Class Tables and Dropdown'!A79 &lt;&gt; "Private Lending", 'Asset Class Tables and Dropdown'!A79 &lt;&gt; "Private Equity", 'Asset Class Tables and Dropdown'!A79 &lt;&gt; "Natural Resources", 'Asset Class Tables and Dropdown'!A79 &lt;&gt; "Absolute Return", 'Asset Class Tables and Dropdown'!A79 &lt;&gt; "Fixed Income", 'Asset Class Tables and Dropdown'!A79 &lt;&gt; "Public Equity", 'Asset Class Tables and Dropdown'!A79 &lt;&gt; ""), 'Asset Class Tables and Dropdown'!A79, "")</f>
        <v>0</v>
      </c>
      <c r="D135" s="182">
        <f>SUMIF('Investment Proposal Inputs'!$M$29:$M$141, Investment_Proposal_Calculations51[[#This Row],[Ticker **Must Match Investment Proposal Inputs**]], 'Investment Proposal Inputs'!$N$29:$N$141)</f>
        <v>0</v>
      </c>
      <c r="E135"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136" spans="2:5">
      <c r="B136">
        <f>IF(OR('Asset Class Tables and Dropdown'!A80 &lt;&gt; "Real Estate", 'Asset Class Tables and Dropdown'!A80 &lt;&gt; "Name", 'Asset Class Tables and Dropdown'!A80 &lt;&gt; "Private Lending", 'Asset Class Tables and Dropdown'!A80 &lt;&gt; "Private Equity", 'Asset Class Tables and Dropdown'!A80 &lt;&gt; "Natural Resources", 'Asset Class Tables and Dropdown'!A80 &lt;&gt; "Absolute Return", 'Asset Class Tables and Dropdown'!A80 &lt;&gt; "Fixed Income", 'Asset Class Tables and Dropdown'!A80 &lt;&gt; "Public Equity", 'Asset Class Tables and Dropdown'!A80 &lt;&gt; ""), 'Asset Class Tables and Dropdown'!A80, "")</f>
        <v>0</v>
      </c>
      <c r="D136" s="182">
        <f>SUMIF('Investment Proposal Inputs'!$M$29:$M$141, Investment_Proposal_Calculations51[[#This Row],[Ticker **Must Match Investment Proposal Inputs**]], 'Investment Proposal Inputs'!$N$29:$N$141)</f>
        <v>0</v>
      </c>
      <c r="E136"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137" spans="2:5">
      <c r="B137">
        <f>IF(OR('Asset Class Tables and Dropdown'!A81 &lt;&gt; "Real Estate", 'Asset Class Tables and Dropdown'!A81 &lt;&gt; "Name", 'Asset Class Tables and Dropdown'!A81 &lt;&gt; "Private Lending", 'Asset Class Tables and Dropdown'!A81 &lt;&gt; "Private Equity", 'Asset Class Tables and Dropdown'!A81 &lt;&gt; "Natural Resources", 'Asset Class Tables and Dropdown'!A81 &lt;&gt; "Absolute Return", 'Asset Class Tables and Dropdown'!A81 &lt;&gt; "Fixed Income", 'Asset Class Tables and Dropdown'!A81 &lt;&gt; "Public Equity", 'Asset Class Tables and Dropdown'!A81 &lt;&gt; ""), 'Asset Class Tables and Dropdown'!A81, "")</f>
        <v>0</v>
      </c>
      <c r="D137" s="182">
        <f>SUMIF('Investment Proposal Inputs'!$M$29:$M$141, Investment_Proposal_Calculations51[[#This Row],[Ticker **Must Match Investment Proposal Inputs**]], 'Investment Proposal Inputs'!$N$29:$N$141)</f>
        <v>0</v>
      </c>
      <c r="E137"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138" spans="2:5">
      <c r="B138">
        <f>IF(OR('Asset Class Tables and Dropdown'!A82 &lt;&gt; "Real Estate", 'Asset Class Tables and Dropdown'!A82 &lt;&gt; "Name", 'Asset Class Tables and Dropdown'!A82 &lt;&gt; "Private Lending", 'Asset Class Tables and Dropdown'!A82 &lt;&gt; "Private Equity", 'Asset Class Tables and Dropdown'!A82 &lt;&gt; "Natural Resources", 'Asset Class Tables and Dropdown'!A82 &lt;&gt; "Absolute Return", 'Asset Class Tables and Dropdown'!A82 &lt;&gt; "Fixed Income", 'Asset Class Tables and Dropdown'!A82 &lt;&gt; "Public Equity", 'Asset Class Tables and Dropdown'!A82 &lt;&gt; ""), 'Asset Class Tables and Dropdown'!A82, "")</f>
        <v>0</v>
      </c>
      <c r="D138" s="182">
        <f>SUMIF('Investment Proposal Inputs'!$M$29:$M$141, Investment_Proposal_Calculations51[[#This Row],[Ticker **Must Match Investment Proposal Inputs**]], 'Investment Proposal Inputs'!$N$29:$N$141)</f>
        <v>0</v>
      </c>
      <c r="E138"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139" spans="2:5">
      <c r="B139">
        <f>IF(OR('Asset Class Tables and Dropdown'!A83 &lt;&gt; "Real Estate", 'Asset Class Tables and Dropdown'!A83 &lt;&gt; "Name", 'Asset Class Tables and Dropdown'!A83 &lt;&gt; "Private Lending", 'Asset Class Tables and Dropdown'!A83 &lt;&gt; "Private Equity", 'Asset Class Tables and Dropdown'!A83 &lt;&gt; "Natural Resources", 'Asset Class Tables and Dropdown'!A83 &lt;&gt; "Absolute Return", 'Asset Class Tables and Dropdown'!A83 &lt;&gt; "Fixed Income", 'Asset Class Tables and Dropdown'!A83 &lt;&gt; "Public Equity", 'Asset Class Tables and Dropdown'!A83 &lt;&gt; ""), 'Asset Class Tables and Dropdown'!A83, "")</f>
        <v>0</v>
      </c>
      <c r="D139" s="182">
        <f>SUMIF('Investment Proposal Inputs'!$M$29:$M$141, Investment_Proposal_Calculations51[[#This Row],[Ticker **Must Match Investment Proposal Inputs**]], 'Investment Proposal Inputs'!$N$29:$N$141)</f>
        <v>0</v>
      </c>
      <c r="E139"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140" spans="2:5">
      <c r="B140">
        <f>IF(OR('Asset Class Tables and Dropdown'!A84 &lt;&gt; "Real Estate", 'Asset Class Tables and Dropdown'!A84 &lt;&gt; "Name", 'Asset Class Tables and Dropdown'!A84 &lt;&gt; "Private Lending", 'Asset Class Tables and Dropdown'!A84 &lt;&gt; "Private Equity", 'Asset Class Tables and Dropdown'!A84 &lt;&gt; "Natural Resources", 'Asset Class Tables and Dropdown'!A84 &lt;&gt; "Absolute Return", 'Asset Class Tables and Dropdown'!A84 &lt;&gt; "Fixed Income", 'Asset Class Tables and Dropdown'!A84 &lt;&gt; "Public Equity", 'Asset Class Tables and Dropdown'!A84 &lt;&gt; ""), 'Asset Class Tables and Dropdown'!A84, "")</f>
        <v>0</v>
      </c>
      <c r="D140" s="182">
        <f>SUMIF('Investment Proposal Inputs'!$M$29:$M$141, Investment_Proposal_Calculations51[[#This Row],[Ticker **Must Match Investment Proposal Inputs**]], 'Investment Proposal Inputs'!$N$29:$N$141)</f>
        <v>0</v>
      </c>
      <c r="E140"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141" spans="2:5">
      <c r="B141" t="str">
        <f>IF(OR('Asset Class Tables and Dropdown'!A85 &lt;&gt; "Real Estate", 'Asset Class Tables and Dropdown'!A85 &lt;&gt; "Name", 'Asset Class Tables and Dropdown'!A85 &lt;&gt; "Private Lending", 'Asset Class Tables and Dropdown'!A85 &lt;&gt; "Private Equity", 'Asset Class Tables and Dropdown'!A85 &lt;&gt; "Natural Resources", 'Asset Class Tables and Dropdown'!A85 &lt;&gt; "Absolute Return", 'Asset Class Tables and Dropdown'!A85 &lt;&gt; "Fixed Income", 'Asset Class Tables and Dropdown'!A85 &lt;&gt; "Public Equity", 'Asset Class Tables and Dropdown'!A85 &lt;&gt; ""), 'Asset Class Tables and Dropdown'!A85, "")</f>
        <v>Fixed Income</v>
      </c>
      <c r="D141" s="182">
        <f>SUMIF('Investment Proposal Inputs'!$M$29:$M$141, Investment_Proposal_Calculations51[[#This Row],[Ticker **Must Match Investment Proposal Inputs**]], 'Investment Proposal Inputs'!$N$29:$N$141)</f>
        <v>0</v>
      </c>
      <c r="E141"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142" spans="2:5">
      <c r="B142" t="str">
        <f>IF(OR('Asset Class Tables and Dropdown'!A86 &lt;&gt; "Real Estate", 'Asset Class Tables and Dropdown'!A86 &lt;&gt; "Name", 'Asset Class Tables and Dropdown'!A86 &lt;&gt; "Private Lending", 'Asset Class Tables and Dropdown'!A86 &lt;&gt; "Private Equity", 'Asset Class Tables and Dropdown'!A86 &lt;&gt; "Natural Resources", 'Asset Class Tables and Dropdown'!A86 &lt;&gt; "Absolute Return", 'Asset Class Tables and Dropdown'!A86 &lt;&gt; "Fixed Income", 'Asset Class Tables and Dropdown'!A86 &lt;&gt; "Public Equity", 'Asset Class Tables and Dropdown'!A86 &lt;&gt; ""), 'Asset Class Tables and Dropdown'!A86, "")</f>
        <v>Name</v>
      </c>
      <c r="D142" s="182">
        <f>SUMIF('Investment Proposal Inputs'!$M$29:$M$141, Investment_Proposal_Calculations51[[#This Row],[Ticker **Must Match Investment Proposal Inputs**]], 'Investment Proposal Inputs'!$N$29:$N$141)</f>
        <v>0</v>
      </c>
      <c r="E142"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143" spans="2:5">
      <c r="B143" t="str">
        <f>IF(OR('Asset Class Tables and Dropdown'!A87 &lt;&gt; "Real Estate", 'Asset Class Tables and Dropdown'!A87 &lt;&gt; "Name", 'Asset Class Tables and Dropdown'!A87 &lt;&gt; "Private Lending", 'Asset Class Tables and Dropdown'!A87 &lt;&gt; "Private Equity", 'Asset Class Tables and Dropdown'!A87 &lt;&gt; "Natural Resources", 'Asset Class Tables and Dropdown'!A87 &lt;&gt; "Absolute Return", 'Asset Class Tables and Dropdown'!A87 &lt;&gt; "Fixed Income", 'Asset Class Tables and Dropdown'!A87 &lt;&gt; "Public Equity", 'Asset Class Tables and Dropdown'!A87 &lt;&gt; ""), 'Asset Class Tables and Dropdown'!A87, "")</f>
        <v>Bluebay Destra International Event Driven Credit Fund</v>
      </c>
      <c r="D143" s="182">
        <f>SUMIF('Investment Proposal Inputs'!$M$29:$M$141, Investment_Proposal_Calculations51[[#This Row],[Ticker **Must Match Investment Proposal Inputs**]], 'Investment Proposal Inputs'!$N$29:$N$141)</f>
        <v>0</v>
      </c>
      <c r="E143"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44" spans="2:5">
      <c r="B144" t="str">
        <f>IF(OR('Asset Class Tables and Dropdown'!A88 &lt;&gt; "Real Estate", 'Asset Class Tables and Dropdown'!A88 &lt;&gt; "Name", 'Asset Class Tables and Dropdown'!A88 &lt;&gt; "Private Lending", 'Asset Class Tables and Dropdown'!A88 &lt;&gt; "Private Equity", 'Asset Class Tables and Dropdown'!A88 &lt;&gt; "Natural Resources", 'Asset Class Tables and Dropdown'!A88 &lt;&gt; "Absolute Return", 'Asset Class Tables and Dropdown'!A88 &lt;&gt; "Fixed Income", 'Asset Class Tables and Dropdown'!A88 &lt;&gt; "Public Equity", 'Asset Class Tables and Dropdown'!A88 &lt;&gt; ""), 'Asset Class Tables and Dropdown'!A88, "")</f>
        <v>Counterpoint Tactical Income Fund</v>
      </c>
      <c r="D144" s="182">
        <f>SUMIF('Investment Proposal Inputs'!$M$29:$M$141, Investment_Proposal_Calculations51[[#This Row],[Ticker **Must Match Investment Proposal Inputs**]], 'Investment Proposal Inputs'!$N$29:$N$141)</f>
        <v>0</v>
      </c>
      <c r="E144"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45" spans="2:5">
      <c r="B145" t="str">
        <f>IF(OR('Asset Class Tables and Dropdown'!A89 &lt;&gt; "Real Estate", 'Asset Class Tables and Dropdown'!A89 &lt;&gt; "Name", 'Asset Class Tables and Dropdown'!A89 &lt;&gt; "Private Lending", 'Asset Class Tables and Dropdown'!A89 &lt;&gt; "Private Equity", 'Asset Class Tables and Dropdown'!A89 &lt;&gt; "Natural Resources", 'Asset Class Tables and Dropdown'!A89 &lt;&gt; "Absolute Return", 'Asset Class Tables and Dropdown'!A89 &lt;&gt; "Fixed Income", 'Asset Class Tables and Dropdown'!A89 &lt;&gt; "Public Equity", 'Asset Class Tables and Dropdown'!A89 &lt;&gt; ""), 'Asset Class Tables and Dropdown'!A89, "")</f>
        <v>Easterly Income Opportunities</v>
      </c>
      <c r="D145" s="182">
        <f>SUMIF('Investment Proposal Inputs'!$M$29:$M$141, Investment_Proposal_Calculations51[[#This Row],[Ticker **Must Match Investment Proposal Inputs**]], 'Investment Proposal Inputs'!$N$29:$N$141)</f>
        <v>0</v>
      </c>
      <c r="E145"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46" spans="2:5">
      <c r="B146" t="str">
        <f>IF(OR('Asset Class Tables and Dropdown'!A90 &lt;&gt; "Real Estate", 'Asset Class Tables and Dropdown'!A90 &lt;&gt; "Name", 'Asset Class Tables and Dropdown'!A90 &lt;&gt; "Private Lending", 'Asset Class Tables and Dropdown'!A90 &lt;&gt; "Private Equity", 'Asset Class Tables and Dropdown'!A90 &lt;&gt; "Natural Resources", 'Asset Class Tables and Dropdown'!A90 &lt;&gt; "Absolute Return", 'Asset Class Tables and Dropdown'!A90 &lt;&gt; "Fixed Income", 'Asset Class Tables and Dropdown'!A90 &lt;&gt; "Public Equity", 'Asset Class Tables and Dropdown'!A90 &lt;&gt; ""), 'Asset Class Tables and Dropdown'!A90, "")</f>
        <v>Lord Abbett Credit Opportunities Fund</v>
      </c>
      <c r="D146" s="182">
        <f>SUMIF('Investment Proposal Inputs'!$M$29:$M$141, Investment_Proposal_Calculations51[[#This Row],[Ticker **Must Match Investment Proposal Inputs**]], 'Investment Proposal Inputs'!$N$29:$N$141)</f>
        <v>0</v>
      </c>
      <c r="E146"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47" spans="2:5">
      <c r="B147" t="str">
        <f>IF(OR('Asset Class Tables and Dropdown'!A91 &lt;&gt; "Real Estate", 'Asset Class Tables and Dropdown'!A91 &lt;&gt; "Name", 'Asset Class Tables and Dropdown'!A91 &lt;&gt; "Private Lending", 'Asset Class Tables and Dropdown'!A91 &lt;&gt; "Private Equity", 'Asset Class Tables and Dropdown'!A91 &lt;&gt; "Natural Resources", 'Asset Class Tables and Dropdown'!A91 &lt;&gt; "Absolute Return", 'Asset Class Tables and Dropdown'!A91 &lt;&gt; "Fixed Income", 'Asset Class Tables and Dropdown'!A91 &lt;&gt; "Public Equity", 'Asset Class Tables and Dropdown'!A91 &lt;&gt; ""), 'Asset Class Tables and Dropdown'!A91, "")</f>
        <v>PGIM Jennison High Yield</v>
      </c>
      <c r="D147" s="182">
        <f>SUMIF('Investment Proposal Inputs'!$M$29:$M$141, Investment_Proposal_Calculations51[[#This Row],[Ticker **Must Match Investment Proposal Inputs**]], 'Investment Proposal Inputs'!$N$29:$N$141)</f>
        <v>0</v>
      </c>
      <c r="E147"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48" spans="2:5">
      <c r="B148" t="str">
        <f>IF(OR('Asset Class Tables and Dropdown'!A92 &lt;&gt; "Real Estate", 'Asset Class Tables and Dropdown'!A92 &lt;&gt; "Name", 'Asset Class Tables and Dropdown'!A92 &lt;&gt; "Private Lending", 'Asset Class Tables and Dropdown'!A92 &lt;&gt; "Private Equity", 'Asset Class Tables and Dropdown'!A92 &lt;&gt; "Natural Resources", 'Asset Class Tables and Dropdown'!A92 &lt;&gt; "Absolute Return", 'Asset Class Tables and Dropdown'!A92 &lt;&gt; "Fixed Income", 'Asset Class Tables and Dropdown'!A92 &lt;&gt; "Public Equity", 'Asset Class Tables and Dropdown'!A92 &lt;&gt; ""), 'Asset Class Tables and Dropdown'!A92, "")</f>
        <v>PGIM Jennison Short Duration High Yield</v>
      </c>
      <c r="D148" s="182">
        <f>SUMIF('Investment Proposal Inputs'!$M$29:$M$141, Investment_Proposal_Calculations51[[#This Row],[Ticker **Must Match Investment Proposal Inputs**]], 'Investment Proposal Inputs'!$N$29:$N$141)</f>
        <v>0</v>
      </c>
      <c r="E148"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49" spans="2:5">
      <c r="B149" t="str">
        <f>IF(OR('Asset Class Tables and Dropdown'!A93 &lt;&gt; "Real Estate", 'Asset Class Tables and Dropdown'!A93 &lt;&gt; "Name", 'Asset Class Tables and Dropdown'!A93 &lt;&gt; "Private Lending", 'Asset Class Tables and Dropdown'!A93 &lt;&gt; "Private Equity", 'Asset Class Tables and Dropdown'!A93 &lt;&gt; "Natural Resources", 'Asset Class Tables and Dropdown'!A93 &lt;&gt; "Absolute Return", 'Asset Class Tables and Dropdown'!A93 &lt;&gt; "Fixed Income", 'Asset Class Tables and Dropdown'!A93 &lt;&gt; "Public Equity", 'Asset Class Tables and Dropdown'!A93 &lt;&gt; ""), 'Asset Class Tables and Dropdown'!A93, "")</f>
        <v>PIMCO Income</v>
      </c>
      <c r="D149" s="182">
        <f>SUMIF('Investment Proposal Inputs'!$M$29:$M$141, Investment_Proposal_Calculations51[[#This Row],[Ticker **Must Match Investment Proposal Inputs**]], 'Investment Proposal Inputs'!$N$29:$N$141)</f>
        <v>0</v>
      </c>
      <c r="E149"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50" spans="2:5">
      <c r="B150" t="str">
        <f>IF(OR('Asset Class Tables and Dropdown'!A94 &lt;&gt; "Real Estate", 'Asset Class Tables and Dropdown'!A94 &lt;&gt; "Name", 'Asset Class Tables and Dropdown'!A94 &lt;&gt; "Private Lending", 'Asset Class Tables and Dropdown'!A94 &lt;&gt; "Private Equity", 'Asset Class Tables and Dropdown'!A94 &lt;&gt; "Natural Resources", 'Asset Class Tables and Dropdown'!A94 &lt;&gt; "Absolute Return", 'Asset Class Tables and Dropdown'!A94 &lt;&gt; "Fixed Income", 'Asset Class Tables and Dropdown'!A94 &lt;&gt; "Public Equity", 'Asset Class Tables and Dropdown'!A94 &lt;&gt; ""), 'Asset Class Tables and Dropdown'!A94, "")</f>
        <v>Cash</v>
      </c>
      <c r="D150" s="182">
        <f>SUMIF('Investment Proposal Inputs'!$M$29:$M$141, Investment_Proposal_Calculations51[[#This Row],[Ticker **Must Match Investment Proposal Inputs**]], 'Investment Proposal Inputs'!$N$29:$N$141)</f>
        <v>0</v>
      </c>
      <c r="E150"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51" spans="2:5">
      <c r="B151">
        <f>IF(OR('Asset Class Tables and Dropdown'!A95 &lt;&gt; "Real Estate", 'Asset Class Tables and Dropdown'!A95 &lt;&gt; "Name", 'Asset Class Tables and Dropdown'!A95 &lt;&gt; "Private Lending", 'Asset Class Tables and Dropdown'!A95 &lt;&gt; "Private Equity", 'Asset Class Tables and Dropdown'!A95 &lt;&gt; "Natural Resources", 'Asset Class Tables and Dropdown'!A95 &lt;&gt; "Absolute Return", 'Asset Class Tables and Dropdown'!A95 &lt;&gt; "Fixed Income", 'Asset Class Tables and Dropdown'!A95 &lt;&gt; "Public Equity", 'Asset Class Tables and Dropdown'!A95 &lt;&gt; ""), 'Asset Class Tables and Dropdown'!A95, "")</f>
        <v>0</v>
      </c>
      <c r="D151" s="182">
        <f>SUMIF('Investment Proposal Inputs'!$M$29:$M$141, Investment_Proposal_Calculations51[[#This Row],[Ticker **Must Match Investment Proposal Inputs**]], 'Investment Proposal Inputs'!$N$29:$N$141)</f>
        <v>0</v>
      </c>
      <c r="E151"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152" spans="2:5">
      <c r="B152">
        <f>IF(OR('Asset Class Tables and Dropdown'!A96 &lt;&gt; "Real Estate", 'Asset Class Tables and Dropdown'!A96 &lt;&gt; "Name", 'Asset Class Tables and Dropdown'!A96 &lt;&gt; "Private Lending", 'Asset Class Tables and Dropdown'!A96 &lt;&gt; "Private Equity", 'Asset Class Tables and Dropdown'!A96 &lt;&gt; "Natural Resources", 'Asset Class Tables and Dropdown'!A96 &lt;&gt; "Absolute Return", 'Asset Class Tables and Dropdown'!A96 &lt;&gt; "Fixed Income", 'Asset Class Tables and Dropdown'!A96 &lt;&gt; "Public Equity", 'Asset Class Tables and Dropdown'!A96 &lt;&gt; ""), 'Asset Class Tables and Dropdown'!A96, "")</f>
        <v>0</v>
      </c>
      <c r="D152" s="182">
        <f>SUMIF('Investment Proposal Inputs'!$M$29:$M$141, Investment_Proposal_Calculations51[[#This Row],[Ticker **Must Match Investment Proposal Inputs**]], 'Investment Proposal Inputs'!$N$29:$N$141)</f>
        <v>0</v>
      </c>
      <c r="E152"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153" spans="2:5">
      <c r="B153">
        <f>IF(OR('Asset Class Tables and Dropdown'!A97 &lt;&gt; "Real Estate", 'Asset Class Tables and Dropdown'!A97 &lt;&gt; "Name", 'Asset Class Tables and Dropdown'!A97 &lt;&gt; "Private Lending", 'Asset Class Tables and Dropdown'!A97 &lt;&gt; "Private Equity", 'Asset Class Tables and Dropdown'!A97 &lt;&gt; "Natural Resources", 'Asset Class Tables and Dropdown'!A97 &lt;&gt; "Absolute Return", 'Asset Class Tables and Dropdown'!A97 &lt;&gt; "Fixed Income", 'Asset Class Tables and Dropdown'!A97 &lt;&gt; "Public Equity", 'Asset Class Tables and Dropdown'!A97 &lt;&gt; ""), 'Asset Class Tables and Dropdown'!A97, "")</f>
        <v>0</v>
      </c>
      <c r="D153" s="182">
        <f>SUMIF('Investment Proposal Inputs'!$M$29:$M$141, Investment_Proposal_Calculations51[[#This Row],[Ticker **Must Match Investment Proposal Inputs**]], 'Investment Proposal Inputs'!$N$29:$N$141)</f>
        <v>0</v>
      </c>
      <c r="E153"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154" spans="2:5">
      <c r="B154" t="str">
        <f>IF(OR('Asset Class Tables and Dropdown'!A98 &lt;&gt; "Real Estate", 'Asset Class Tables and Dropdown'!A98 &lt;&gt; "Name", 'Asset Class Tables and Dropdown'!A98 &lt;&gt; "Private Lending", 'Asset Class Tables and Dropdown'!A98 &lt;&gt; "Private Equity", 'Asset Class Tables and Dropdown'!A98 &lt;&gt; "Natural Resources", 'Asset Class Tables and Dropdown'!A98 &lt;&gt; "Absolute Return", 'Asset Class Tables and Dropdown'!A98 &lt;&gt; "Fixed Income", 'Asset Class Tables and Dropdown'!A98 &lt;&gt; "Public Equity", 'Asset Class Tables and Dropdown'!A98 &lt;&gt; ""), 'Asset Class Tables and Dropdown'!A98, "")</f>
        <v>Public Equity</v>
      </c>
      <c r="D154" s="182">
        <f>SUMIF('Investment Proposal Inputs'!$M$29:$M$141, Investment_Proposal_Calculations51[[#This Row],[Ticker **Must Match Investment Proposal Inputs**]], 'Investment Proposal Inputs'!$N$29:$N$141)</f>
        <v>0</v>
      </c>
      <c r="E154"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155" spans="2:5">
      <c r="B155" t="str">
        <f>IF(OR('Asset Class Tables and Dropdown'!A99 &lt;&gt; "Real Estate", 'Asset Class Tables and Dropdown'!A99 &lt;&gt; "Name", 'Asset Class Tables and Dropdown'!A99 &lt;&gt; "Private Lending", 'Asset Class Tables and Dropdown'!A99 &lt;&gt; "Private Equity", 'Asset Class Tables and Dropdown'!A99 &lt;&gt; "Natural Resources", 'Asset Class Tables and Dropdown'!A99 &lt;&gt; "Absolute Return", 'Asset Class Tables and Dropdown'!A99 &lt;&gt; "Fixed Income", 'Asset Class Tables and Dropdown'!A99 &lt;&gt; "Public Equity", 'Asset Class Tables and Dropdown'!A99 &lt;&gt; ""), 'Asset Class Tables and Dropdown'!A99, "")</f>
        <v>Name</v>
      </c>
      <c r="D155" s="182">
        <f>SUMIF('Investment Proposal Inputs'!$M$29:$M$141, Investment_Proposal_Calculations51[[#This Row],[Ticker **Must Match Investment Proposal Inputs**]], 'Investment Proposal Inputs'!$N$29:$N$141)</f>
        <v>0</v>
      </c>
      <c r="E155"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0</v>
      </c>
    </row>
    <row r="156" spans="2:5">
      <c r="B156" t="str">
        <f>IF(OR('Asset Class Tables and Dropdown'!A100 &lt;&gt; "Real Estate", 'Asset Class Tables and Dropdown'!A100 &lt;&gt; "Name", 'Asset Class Tables and Dropdown'!A100 &lt;&gt; "Private Lending", 'Asset Class Tables and Dropdown'!A100 &lt;&gt; "Private Equity", 'Asset Class Tables and Dropdown'!A100 &lt;&gt; "Natural Resources", 'Asset Class Tables and Dropdown'!A100 &lt;&gt; "Absolute Return", 'Asset Class Tables and Dropdown'!A100 &lt;&gt; "Fixed Income", 'Asset Class Tables and Dropdown'!A100 &lt;&gt; "Public Equity", 'Asset Class Tables and Dropdown'!A100 &lt;&gt; ""), 'Asset Class Tables and Dropdown'!A100, "")</f>
        <v>Alkeon ACAP Strategic Fund</v>
      </c>
      <c r="D156" s="182">
        <f>SUMIF('Investment Proposal Inputs'!$M$29:$M$141, Investment_Proposal_Calculations51[[#This Row],[Ticker **Must Match Investment Proposal Inputs**]], 'Investment Proposal Inputs'!$N$29:$N$141)</f>
        <v>0</v>
      </c>
      <c r="E156"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57" spans="2:5">
      <c r="B157" t="str">
        <f>IF(OR('Asset Class Tables and Dropdown'!A101 &lt;&gt; "Real Estate", 'Asset Class Tables and Dropdown'!A101 &lt;&gt; "Name", 'Asset Class Tables and Dropdown'!A101 &lt;&gt; "Private Lending", 'Asset Class Tables and Dropdown'!A101 &lt;&gt; "Private Equity", 'Asset Class Tables and Dropdown'!A101 &lt;&gt; "Natural Resources", 'Asset Class Tables and Dropdown'!A101 &lt;&gt; "Absolute Return", 'Asset Class Tables and Dropdown'!A101 &lt;&gt; "Fixed Income", 'Asset Class Tables and Dropdown'!A101 &lt;&gt; "Public Equity", 'Asset Class Tables and Dropdown'!A101 &lt;&gt; ""), 'Asset Class Tables and Dropdown'!A101, "")</f>
        <v xml:space="preserve">Advanced Micro Devices </v>
      </c>
      <c r="D157" s="182">
        <f>SUMIF('Investment Proposal Inputs'!$M$29:$M$141, Investment_Proposal_Calculations51[[#This Row],[Ticker **Must Match Investment Proposal Inputs**]], 'Investment Proposal Inputs'!$N$29:$N$141)</f>
        <v>0</v>
      </c>
      <c r="E157"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58" spans="2:5">
      <c r="B158" t="str">
        <f>IF(OR('Asset Class Tables and Dropdown'!A102 &lt;&gt; "Real Estate", 'Asset Class Tables and Dropdown'!A102 &lt;&gt; "Name", 'Asset Class Tables and Dropdown'!A102 &lt;&gt; "Private Lending", 'Asset Class Tables and Dropdown'!A102 &lt;&gt; "Private Equity", 'Asset Class Tables and Dropdown'!A102 &lt;&gt; "Natural Resources", 'Asset Class Tables and Dropdown'!A102 &lt;&gt; "Absolute Return", 'Asset Class Tables and Dropdown'!A102 &lt;&gt; "Fixed Income", 'Asset Class Tables and Dropdown'!A102 &lt;&gt; "Public Equity", 'Asset Class Tables and Dropdown'!A102 &lt;&gt; ""), 'Asset Class Tables and Dropdown'!A102, "")</f>
        <v>American Airlines</v>
      </c>
      <c r="D158" s="182">
        <f>SUMIF('Investment Proposal Inputs'!$M$29:$M$141, Investment_Proposal_Calculations51[[#This Row],[Ticker **Must Match Investment Proposal Inputs**]], 'Investment Proposal Inputs'!$N$29:$N$141)</f>
        <v>0</v>
      </c>
      <c r="E158"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59" spans="2:5">
      <c r="B159" t="str">
        <f>IF(OR('Asset Class Tables and Dropdown'!A103 &lt;&gt; "Real Estate", 'Asset Class Tables and Dropdown'!A103 &lt;&gt; "Name", 'Asset Class Tables and Dropdown'!A103 &lt;&gt; "Private Lending", 'Asset Class Tables and Dropdown'!A103 &lt;&gt; "Private Equity", 'Asset Class Tables and Dropdown'!A103 &lt;&gt; "Natural Resources", 'Asset Class Tables and Dropdown'!A103 &lt;&gt; "Absolute Return", 'Asset Class Tables and Dropdown'!A103 &lt;&gt; "Fixed Income", 'Asset Class Tables and Dropdown'!A103 &lt;&gt; "Public Equity", 'Asset Class Tables and Dropdown'!A103 &lt;&gt; ""), 'Asset Class Tables and Dropdown'!A103, "")</f>
        <v>Ares Capital Corp.</v>
      </c>
      <c r="D159" s="182">
        <f>SUMIF('Investment Proposal Inputs'!$M$29:$M$141, Investment_Proposal_Calculations51[[#This Row],[Ticker **Must Match Investment Proposal Inputs**]], 'Investment Proposal Inputs'!$N$29:$N$141)</f>
        <v>0</v>
      </c>
      <c r="E159"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60" spans="2:5">
      <c r="B160" t="str">
        <f>IF(OR('Asset Class Tables and Dropdown'!A104 &lt;&gt; "Real Estate", 'Asset Class Tables and Dropdown'!A104 &lt;&gt; "Name", 'Asset Class Tables and Dropdown'!A104 &lt;&gt; "Private Lending", 'Asset Class Tables and Dropdown'!A104 &lt;&gt; "Private Equity", 'Asset Class Tables and Dropdown'!A104 &lt;&gt; "Natural Resources", 'Asset Class Tables and Dropdown'!A104 &lt;&gt; "Absolute Return", 'Asset Class Tables and Dropdown'!A104 &lt;&gt; "Fixed Income", 'Asset Class Tables and Dropdown'!A104 &lt;&gt; "Public Equity", 'Asset Class Tables and Dropdown'!A104 &lt;&gt; ""), 'Asset Class Tables and Dropdown'!A104, "")</f>
        <v xml:space="preserve">Ark Fintech Innovation ETF </v>
      </c>
      <c r="D160" s="182">
        <f>SUMIF('Investment Proposal Inputs'!$M$29:$M$141, Investment_Proposal_Calculations51[[#This Row],[Ticker **Must Match Investment Proposal Inputs**]], 'Investment Proposal Inputs'!$N$29:$N$141)</f>
        <v>0</v>
      </c>
      <c r="E160"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61" spans="2:5">
      <c r="B161" t="str">
        <f>IF(OR('Asset Class Tables and Dropdown'!A105 &lt;&gt; "Real Estate", 'Asset Class Tables and Dropdown'!A105 &lt;&gt; "Name", 'Asset Class Tables and Dropdown'!A105 &lt;&gt; "Private Lending", 'Asset Class Tables and Dropdown'!A105 &lt;&gt; "Private Equity", 'Asset Class Tables and Dropdown'!A105 &lt;&gt; "Natural Resources", 'Asset Class Tables and Dropdown'!A105 &lt;&gt; "Absolute Return", 'Asset Class Tables and Dropdown'!A105 &lt;&gt; "Fixed Income", 'Asset Class Tables and Dropdown'!A105 &lt;&gt; "Public Equity", 'Asset Class Tables and Dropdown'!A105 &lt;&gt; ""), 'Asset Class Tables and Dropdown'!A105, "")</f>
        <v>BlackRock Health Sciences</v>
      </c>
      <c r="D161" s="182">
        <f>SUMIF('Investment Proposal Inputs'!$M$29:$M$141, Investment_Proposal_Calculations51[[#This Row],[Ticker **Must Match Investment Proposal Inputs**]], 'Investment Proposal Inputs'!$N$29:$N$141)</f>
        <v>0</v>
      </c>
      <c r="E161"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62" spans="2:5">
      <c r="B162" t="str">
        <f>IF(OR('Asset Class Tables and Dropdown'!A106 &lt;&gt; "Real Estate", 'Asset Class Tables and Dropdown'!A106 &lt;&gt; "Name", 'Asset Class Tables and Dropdown'!A106 &lt;&gt; "Private Lending", 'Asset Class Tables and Dropdown'!A106 &lt;&gt; "Private Equity", 'Asset Class Tables and Dropdown'!A106 &lt;&gt; "Natural Resources", 'Asset Class Tables and Dropdown'!A106 &lt;&gt; "Absolute Return", 'Asset Class Tables and Dropdown'!A106 &lt;&gt; "Fixed Income", 'Asset Class Tables and Dropdown'!A106 &lt;&gt; "Public Equity", 'Asset Class Tables and Dropdown'!A106 &lt;&gt; ""), 'Asset Class Tables and Dropdown'!A106, "")</f>
        <v>Bluerock Residential Growth</v>
      </c>
      <c r="D162" s="182">
        <f>SUMIF('Investment Proposal Inputs'!$M$29:$M$141, Investment_Proposal_Calculations51[[#This Row],[Ticker **Must Match Investment Proposal Inputs**]], 'Investment Proposal Inputs'!$N$29:$N$141)</f>
        <v>0</v>
      </c>
      <c r="E162"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63" spans="2:5">
      <c r="B163" t="str">
        <f>IF(OR('Asset Class Tables and Dropdown'!A107 &lt;&gt; "Real Estate", 'Asset Class Tables and Dropdown'!A107 &lt;&gt; "Name", 'Asset Class Tables and Dropdown'!A107 &lt;&gt; "Private Lending", 'Asset Class Tables and Dropdown'!A107 &lt;&gt; "Private Equity", 'Asset Class Tables and Dropdown'!A107 &lt;&gt; "Natural Resources", 'Asset Class Tables and Dropdown'!A107 &lt;&gt; "Absolute Return", 'Asset Class Tables and Dropdown'!A107 &lt;&gt; "Fixed Income", 'Asset Class Tables and Dropdown'!A107 &lt;&gt; "Public Equity", 'Asset Class Tables and Dropdown'!A107 &lt;&gt; ""), 'Asset Class Tables and Dropdown'!A107, "")</f>
        <v>Carnival Corp</v>
      </c>
      <c r="D163" s="182">
        <f>SUMIF('Investment Proposal Inputs'!$M$29:$M$141, Investment_Proposal_Calculations51[[#This Row],[Ticker **Must Match Investment Proposal Inputs**]], 'Investment Proposal Inputs'!$N$29:$N$141)</f>
        <v>0</v>
      </c>
      <c r="E163"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64" spans="2:5">
      <c r="B164" t="str">
        <f>IF(OR('Asset Class Tables and Dropdown'!A108 &lt;&gt; "Real Estate", 'Asset Class Tables and Dropdown'!A108 &lt;&gt; "Name", 'Asset Class Tables and Dropdown'!A108 &lt;&gt; "Private Lending", 'Asset Class Tables and Dropdown'!A108 &lt;&gt; "Private Equity", 'Asset Class Tables and Dropdown'!A108 &lt;&gt; "Natural Resources", 'Asset Class Tables and Dropdown'!A108 &lt;&gt; "Absolute Return", 'Asset Class Tables and Dropdown'!A108 &lt;&gt; "Fixed Income", 'Asset Class Tables and Dropdown'!A108 &lt;&gt; "Public Equity", 'Asset Class Tables and Dropdown'!A108 &lt;&gt; ""), 'Asset Class Tables and Dropdown'!A108, "")</f>
        <v>ClearBridge International Growth Fund</v>
      </c>
      <c r="D164" s="182">
        <f>SUMIF('Investment Proposal Inputs'!$M$29:$M$141, Investment_Proposal_Calculations51[[#This Row],[Ticker **Must Match Investment Proposal Inputs**]], 'Investment Proposal Inputs'!$N$29:$N$141)</f>
        <v>0</v>
      </c>
      <c r="E164"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65" spans="2:5">
      <c r="B165" t="str">
        <f>IF(OR('Asset Class Tables and Dropdown'!A109 &lt;&gt; "Real Estate", 'Asset Class Tables and Dropdown'!A109 &lt;&gt; "Name", 'Asset Class Tables and Dropdown'!A109 &lt;&gt; "Private Lending", 'Asset Class Tables and Dropdown'!A109 &lt;&gt; "Private Equity", 'Asset Class Tables and Dropdown'!A109 &lt;&gt; "Natural Resources", 'Asset Class Tables and Dropdown'!A109 &lt;&gt; "Absolute Return", 'Asset Class Tables and Dropdown'!A109 &lt;&gt; "Fixed Income", 'Asset Class Tables and Dropdown'!A109 &lt;&gt; "Public Equity", 'Asset Class Tables and Dropdown'!A109 &lt;&gt; ""), 'Asset Class Tables and Dropdown'!A109, "")</f>
        <v>Crowdstrike Holdings Inc</v>
      </c>
      <c r="D165" s="182">
        <f>SUMIF('Investment Proposal Inputs'!$M$29:$M$141, Investment_Proposal_Calculations51[[#This Row],[Ticker **Must Match Investment Proposal Inputs**]], 'Investment Proposal Inputs'!$N$29:$N$141)</f>
        <v>0</v>
      </c>
      <c r="E165"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66" spans="2:5">
      <c r="B166" t="str">
        <f>IF(OR('Asset Class Tables and Dropdown'!A110 &lt;&gt; "Real Estate", 'Asset Class Tables and Dropdown'!A110 &lt;&gt; "Name", 'Asset Class Tables and Dropdown'!A110 &lt;&gt; "Private Lending", 'Asset Class Tables and Dropdown'!A110 &lt;&gt; "Private Equity", 'Asset Class Tables and Dropdown'!A110 &lt;&gt; "Natural Resources", 'Asset Class Tables and Dropdown'!A110 &lt;&gt; "Absolute Return", 'Asset Class Tables and Dropdown'!A110 &lt;&gt; "Fixed Income", 'Asset Class Tables and Dropdown'!A110 &lt;&gt; "Public Equity", 'Asset Class Tables and Dropdown'!A110 &lt;&gt; ""), 'Asset Class Tables and Dropdown'!A110, "")</f>
        <v>Delta Airlines</v>
      </c>
      <c r="D166" s="182">
        <f>SUMIF('Investment Proposal Inputs'!$M$29:$M$141, Investment_Proposal_Calculations51[[#This Row],[Ticker **Must Match Investment Proposal Inputs**]], 'Investment Proposal Inputs'!$N$29:$N$141)</f>
        <v>0</v>
      </c>
      <c r="E166"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67" spans="2:5">
      <c r="B167" t="str">
        <f>IF(OR('Asset Class Tables and Dropdown'!A111 &lt;&gt; "Real Estate", 'Asset Class Tables and Dropdown'!A111 &lt;&gt; "Name", 'Asset Class Tables and Dropdown'!A111 &lt;&gt; "Private Lending", 'Asset Class Tables and Dropdown'!A111 &lt;&gt; "Private Equity", 'Asset Class Tables and Dropdown'!A111 &lt;&gt; "Natural Resources", 'Asset Class Tables and Dropdown'!A111 &lt;&gt; "Absolute Return", 'Asset Class Tables and Dropdown'!A111 &lt;&gt; "Fixed Income", 'Asset Class Tables and Dropdown'!A111 &lt;&gt; "Public Equity", 'Asset Class Tables and Dropdown'!A111 &lt;&gt; ""), 'Asset Class Tables and Dropdown'!A111, "")</f>
        <v>FS KKR Capital Corp.</v>
      </c>
      <c r="D167" s="182">
        <f>SUMIF('Investment Proposal Inputs'!$M$29:$M$141, Investment_Proposal_Calculations51[[#This Row],[Ticker **Must Match Investment Proposal Inputs**]], 'Investment Proposal Inputs'!$N$29:$N$141)</f>
        <v>0</v>
      </c>
      <c r="E167"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68" spans="2:5">
      <c r="B168" t="str">
        <f>IF(OR('Asset Class Tables and Dropdown'!A112 &lt;&gt; "Real Estate", 'Asset Class Tables and Dropdown'!A112 &lt;&gt; "Name", 'Asset Class Tables and Dropdown'!A112 &lt;&gt; "Private Lending", 'Asset Class Tables and Dropdown'!A112 &lt;&gt; "Private Equity", 'Asset Class Tables and Dropdown'!A112 &lt;&gt; "Natural Resources", 'Asset Class Tables and Dropdown'!A112 &lt;&gt; "Absolute Return", 'Asset Class Tables and Dropdown'!A112 &lt;&gt; "Fixed Income", 'Asset Class Tables and Dropdown'!A112 &lt;&gt; "Public Equity", 'Asset Class Tables and Dropdown'!A112 &lt;&gt; ""), 'Asset Class Tables and Dropdown'!A112, "")</f>
        <v>First Trust S&amp;P Barrier Note</v>
      </c>
      <c r="D168" s="182">
        <f>SUMIF('Investment Proposal Inputs'!$M$29:$M$141, Investment_Proposal_Calculations51[[#This Row],[Ticker **Must Match Investment Proposal Inputs**]], 'Investment Proposal Inputs'!$N$29:$N$141)</f>
        <v>0</v>
      </c>
      <c r="E168"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69" spans="2:5">
      <c r="B169" t="str">
        <f>IF(OR('Asset Class Tables and Dropdown'!A113 &lt;&gt; "Real Estate", 'Asset Class Tables and Dropdown'!A113 &lt;&gt; "Name", 'Asset Class Tables and Dropdown'!A113 &lt;&gt; "Private Lending", 'Asset Class Tables and Dropdown'!A113 &lt;&gt; "Private Equity", 'Asset Class Tables and Dropdown'!A113 &lt;&gt; "Natural Resources", 'Asset Class Tables and Dropdown'!A113 &lt;&gt; "Absolute Return", 'Asset Class Tables and Dropdown'!A113 &lt;&gt; "Fixed Income", 'Asset Class Tables and Dropdown'!A113 &lt;&gt; "Public Equity", 'Asset Class Tables and Dropdown'!A113 &lt;&gt; ""), 'Asset Class Tables and Dropdown'!A113, "")</f>
        <v>FT Cboe Vest S&amp;P 500 Dividend Aristocrats Target Income ETF</v>
      </c>
      <c r="D169" s="182">
        <f>SUMIF('Investment Proposal Inputs'!$M$29:$M$141, Investment_Proposal_Calculations51[[#This Row],[Ticker **Must Match Investment Proposal Inputs**]], 'Investment Proposal Inputs'!$N$29:$N$141)</f>
        <v>0</v>
      </c>
      <c r="E169"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70" spans="2:5">
      <c r="B170" t="str">
        <f>IF(OR('Asset Class Tables and Dropdown'!A114 &lt;&gt; "Real Estate", 'Asset Class Tables and Dropdown'!A114 &lt;&gt; "Name", 'Asset Class Tables and Dropdown'!A114 &lt;&gt; "Private Lending", 'Asset Class Tables and Dropdown'!A114 &lt;&gt; "Private Equity", 'Asset Class Tables and Dropdown'!A114 &lt;&gt; "Natural Resources", 'Asset Class Tables and Dropdown'!A114 &lt;&gt; "Absolute Return", 'Asset Class Tables and Dropdown'!A114 &lt;&gt; "Fixed Income", 'Asset Class Tables and Dropdown'!A114 &lt;&gt; "Public Equity", 'Asset Class Tables and Dropdown'!A114 &lt;&gt; ""), 'Asset Class Tables and Dropdown'!A114, "")</f>
        <v>First Trust Rising Dividend Achievers</v>
      </c>
      <c r="D170" s="182">
        <f>SUMIF('Investment Proposal Inputs'!$M$29:$M$141, Investment_Proposal_Calculations51[[#This Row],[Ticker **Must Match Investment Proposal Inputs**]], 'Investment Proposal Inputs'!$N$29:$N$141)</f>
        <v>0</v>
      </c>
      <c r="E170"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71" spans="2:5">
      <c r="B171" t="str">
        <f>IF(OR('Asset Class Tables and Dropdown'!A115 &lt;&gt; "Real Estate", 'Asset Class Tables and Dropdown'!A115 &lt;&gt; "Name", 'Asset Class Tables and Dropdown'!A115 &lt;&gt; "Private Lending", 'Asset Class Tables and Dropdown'!A115 &lt;&gt; "Private Equity", 'Asset Class Tables and Dropdown'!A115 &lt;&gt; "Natural Resources", 'Asset Class Tables and Dropdown'!A115 &lt;&gt; "Absolute Return", 'Asset Class Tables and Dropdown'!A115 &lt;&gt; "Fixed Income", 'Asset Class Tables and Dropdown'!A115 &lt;&gt; "Public Equity", 'Asset Class Tables and Dropdown'!A115 &lt;&gt; ""), 'Asset Class Tables and Dropdown'!A115, "")</f>
        <v>Golub Capital BDC</v>
      </c>
      <c r="D171" s="182">
        <f>SUMIF('Investment Proposal Inputs'!$M$29:$M$141, Investment_Proposal_Calculations51[[#This Row],[Ticker **Must Match Investment Proposal Inputs**]], 'Investment Proposal Inputs'!$N$29:$N$141)</f>
        <v>0</v>
      </c>
      <c r="E171"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72" spans="2:5">
      <c r="B172" t="str">
        <f>IF(OR('Asset Class Tables and Dropdown'!A116 &lt;&gt; "Real Estate", 'Asset Class Tables and Dropdown'!A116 &lt;&gt; "Name", 'Asset Class Tables and Dropdown'!A116 &lt;&gt; "Private Lending", 'Asset Class Tables and Dropdown'!A116 &lt;&gt; "Private Equity", 'Asset Class Tables and Dropdown'!A116 &lt;&gt; "Natural Resources", 'Asset Class Tables and Dropdown'!A116 &lt;&gt; "Absolute Return", 'Asset Class Tables and Dropdown'!A116 &lt;&gt; "Fixed Income", 'Asset Class Tables and Dropdown'!A116 &lt;&gt; "Public Equity", 'Asset Class Tables and Dropdown'!A116 &lt;&gt; ""), 'Asset Class Tables and Dropdown'!A116, "")</f>
        <v>Henry James International Select</v>
      </c>
      <c r="D172" s="182">
        <f>SUMIF('Investment Proposal Inputs'!$M$29:$M$141, Investment_Proposal_Calculations51[[#This Row],[Ticker **Must Match Investment Proposal Inputs**]], 'Investment Proposal Inputs'!$N$29:$N$141)</f>
        <v>0</v>
      </c>
      <c r="E172"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73" spans="2:5">
      <c r="B173" t="str">
        <f>IF(OR('Asset Class Tables and Dropdown'!A117 &lt;&gt; "Real Estate", 'Asset Class Tables and Dropdown'!A117 &lt;&gt; "Name", 'Asset Class Tables and Dropdown'!A117 &lt;&gt; "Private Lending", 'Asset Class Tables and Dropdown'!A117 &lt;&gt; "Private Equity", 'Asset Class Tables and Dropdown'!A117 &lt;&gt; "Natural Resources", 'Asset Class Tables and Dropdown'!A117 &lt;&gt; "Absolute Return", 'Asset Class Tables and Dropdown'!A117 &lt;&gt; "Fixed Income", 'Asset Class Tables and Dropdown'!A117 &lt;&gt; "Public Equity", 'Asset Class Tables and Dropdown'!A117 &lt;&gt; ""), 'Asset Class Tables and Dropdown'!A117, "")</f>
        <v>Hilton</v>
      </c>
      <c r="D173" s="182">
        <f>SUMIF('Investment Proposal Inputs'!$M$29:$M$141, Investment_Proposal_Calculations51[[#This Row],[Ticker **Must Match Investment Proposal Inputs**]], 'Investment Proposal Inputs'!$N$29:$N$141)</f>
        <v>0</v>
      </c>
      <c r="E173"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74" spans="2:5">
      <c r="B174" t="str">
        <f>IF(OR('Asset Class Tables and Dropdown'!A118 &lt;&gt; "Real Estate", 'Asset Class Tables and Dropdown'!A118 &lt;&gt; "Name", 'Asset Class Tables and Dropdown'!A118 &lt;&gt; "Private Lending", 'Asset Class Tables and Dropdown'!A118 &lt;&gt; "Private Equity", 'Asset Class Tables and Dropdown'!A118 &lt;&gt; "Natural Resources", 'Asset Class Tables and Dropdown'!A118 &lt;&gt; "Absolute Return", 'Asset Class Tables and Dropdown'!A118 &lt;&gt; "Fixed Income", 'Asset Class Tables and Dropdown'!A118 &lt;&gt; "Public Equity", 'Asset Class Tables and Dropdown'!A118 &lt;&gt; ""), 'Asset Class Tables and Dropdown'!A118, "")</f>
        <v>Hyatt</v>
      </c>
      <c r="D174" s="182">
        <f>SUMIF('Investment Proposal Inputs'!$M$29:$M$141, Investment_Proposal_Calculations51[[#This Row],[Ticker **Must Match Investment Proposal Inputs**]], 'Investment Proposal Inputs'!$N$29:$N$141)</f>
        <v>0</v>
      </c>
      <c r="E174"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75" spans="2:5">
      <c r="B175" t="str">
        <f>IF(OR('Asset Class Tables and Dropdown'!A119 &lt;&gt; "Real Estate", 'Asset Class Tables and Dropdown'!A119 &lt;&gt; "Name", 'Asset Class Tables and Dropdown'!A119 &lt;&gt; "Private Lending", 'Asset Class Tables and Dropdown'!A119 &lt;&gt; "Private Equity", 'Asset Class Tables and Dropdown'!A119 &lt;&gt; "Natural Resources", 'Asset Class Tables and Dropdown'!A119 &lt;&gt; "Absolute Return", 'Asset Class Tables and Dropdown'!A119 &lt;&gt; "Fixed Income", 'Asset Class Tables and Dropdown'!A119 &lt;&gt; "Public Equity", 'Asset Class Tables and Dropdown'!A119 &lt;&gt; ""), 'Asset Class Tables and Dropdown'!A119, "")</f>
        <v>International Developed</v>
      </c>
      <c r="D175" s="182">
        <f>SUMIF('Investment Proposal Inputs'!$M$29:$M$141, Investment_Proposal_Calculations51[[#This Row],[Ticker **Must Match Investment Proposal Inputs**]], 'Investment Proposal Inputs'!$N$29:$N$141)</f>
        <v>0</v>
      </c>
      <c r="E175"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76" spans="2:5">
      <c r="B176" t="str">
        <f>IF(OR('Asset Class Tables and Dropdown'!A120 &lt;&gt; "Real Estate", 'Asset Class Tables and Dropdown'!A120 &lt;&gt; "Name", 'Asset Class Tables and Dropdown'!A120 &lt;&gt; "Private Lending", 'Asset Class Tables and Dropdown'!A120 &lt;&gt; "Private Equity", 'Asset Class Tables and Dropdown'!A120 &lt;&gt; "Natural Resources", 'Asset Class Tables and Dropdown'!A120 &lt;&gt; "Absolute Return", 'Asset Class Tables and Dropdown'!A120 &lt;&gt; "Fixed Income", 'Asset Class Tables and Dropdown'!A120 &lt;&gt; "Public Equity", 'Asset Class Tables and Dropdown'!A120 &lt;&gt; ""), 'Asset Class Tables and Dropdown'!A120, "")</f>
        <v xml:space="preserve">International Emerging </v>
      </c>
      <c r="D176" s="182">
        <f>SUMIF('Investment Proposal Inputs'!$M$29:$M$141, Investment_Proposal_Calculations51[[#This Row],[Ticker **Must Match Investment Proposal Inputs**]], 'Investment Proposal Inputs'!$N$29:$N$141)</f>
        <v>0</v>
      </c>
      <c r="E176"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77" spans="2:5">
      <c r="B177" t="str">
        <f>IF(OR('Asset Class Tables and Dropdown'!A121 &lt;&gt; "Real Estate", 'Asset Class Tables and Dropdown'!A121 &lt;&gt; "Name", 'Asset Class Tables and Dropdown'!A121 &lt;&gt; "Private Lending", 'Asset Class Tables and Dropdown'!A121 &lt;&gt; "Private Equity", 'Asset Class Tables and Dropdown'!A121 &lt;&gt; "Natural Resources", 'Asset Class Tables and Dropdown'!A121 &lt;&gt; "Absolute Return", 'Asset Class Tables and Dropdown'!A121 &lt;&gt; "Fixed Income", 'Asset Class Tables and Dropdown'!A121 &lt;&gt; "Public Equity", 'Asset Class Tables and Dropdown'!A121 &lt;&gt; ""), 'Asset Class Tables and Dropdown'!A121, "")</f>
        <v>Invesco Oppenheimer Global Opportunities</v>
      </c>
      <c r="D177" s="182">
        <f>SUMIF('Investment Proposal Inputs'!$M$29:$M$141, Investment_Proposal_Calculations51[[#This Row],[Ticker **Must Match Investment Proposal Inputs**]], 'Investment Proposal Inputs'!$N$29:$N$141)</f>
        <v>0</v>
      </c>
      <c r="E177"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78" spans="2:5">
      <c r="B178" t="str">
        <f>IF(OR('Asset Class Tables and Dropdown'!A122 &lt;&gt; "Real Estate", 'Asset Class Tables and Dropdown'!A122 &lt;&gt; "Name", 'Asset Class Tables and Dropdown'!A122 &lt;&gt; "Private Lending", 'Asset Class Tables and Dropdown'!A122 &lt;&gt; "Private Equity", 'Asset Class Tables and Dropdown'!A122 &lt;&gt; "Natural Resources", 'Asset Class Tables and Dropdown'!A122 &lt;&gt; "Absolute Return", 'Asset Class Tables and Dropdown'!A122 &lt;&gt; "Fixed Income", 'Asset Class Tables and Dropdown'!A122 &lt;&gt; "Public Equity", 'Asset Class Tables and Dropdown'!A122 &lt;&gt; ""), 'Asset Class Tables and Dropdown'!A122, "")</f>
        <v>JHancock Disciplined Value Mid Cap</v>
      </c>
      <c r="D178" s="182">
        <f>SUMIF('Investment Proposal Inputs'!$M$29:$M$141, Investment_Proposal_Calculations51[[#This Row],[Ticker **Must Match Investment Proposal Inputs**]], 'Investment Proposal Inputs'!$N$29:$N$141)</f>
        <v>0</v>
      </c>
      <c r="E178"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79" spans="2:5">
      <c r="B179" t="str">
        <f>IF(OR('Asset Class Tables and Dropdown'!A123 &lt;&gt; "Real Estate", 'Asset Class Tables and Dropdown'!A123 &lt;&gt; "Name", 'Asset Class Tables and Dropdown'!A123 &lt;&gt; "Private Lending", 'Asset Class Tables and Dropdown'!A123 &lt;&gt; "Private Equity", 'Asset Class Tables and Dropdown'!A123 &lt;&gt; "Natural Resources", 'Asset Class Tables and Dropdown'!A123 &lt;&gt; "Absolute Return", 'Asset Class Tables and Dropdown'!A123 &lt;&gt; "Fixed Income", 'Asset Class Tables and Dropdown'!A123 &lt;&gt; "Public Equity", 'Asset Class Tables and Dropdown'!A123 &lt;&gt; ""), 'Asset Class Tables and Dropdown'!A123, "")</f>
        <v>JP Morgan</v>
      </c>
      <c r="D179" s="182">
        <f>SUMIF('Investment Proposal Inputs'!$M$29:$M$141, Investment_Proposal_Calculations51[[#This Row],[Ticker **Must Match Investment Proposal Inputs**]], 'Investment Proposal Inputs'!$N$29:$N$141)</f>
        <v>0</v>
      </c>
      <c r="E179"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80" spans="2:5">
      <c r="B180" t="str">
        <f>IF(OR('Asset Class Tables and Dropdown'!A124 &lt;&gt; "Real Estate", 'Asset Class Tables and Dropdown'!A124 &lt;&gt; "Name", 'Asset Class Tables and Dropdown'!A124 &lt;&gt; "Private Lending", 'Asset Class Tables and Dropdown'!A124 &lt;&gt; "Private Equity", 'Asset Class Tables and Dropdown'!A124 &lt;&gt; "Natural Resources", 'Asset Class Tables and Dropdown'!A124 &lt;&gt; "Absolute Return", 'Asset Class Tables and Dropdown'!A124 &lt;&gt; "Fixed Income", 'Asset Class Tables and Dropdown'!A124 &lt;&gt; "Public Equity", 'Asset Class Tables and Dropdown'!A124 &lt;&gt; ""), 'Asset Class Tables and Dropdown'!A124, "")</f>
        <v>JPMorgan Equity Premium Income Fund</v>
      </c>
      <c r="D180" s="182">
        <f>SUMIF('Investment Proposal Inputs'!$M$29:$M$141, Investment_Proposal_Calculations51[[#This Row],[Ticker **Must Match Investment Proposal Inputs**]], 'Investment Proposal Inputs'!$N$29:$N$141)</f>
        <v>0</v>
      </c>
      <c r="E180"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81" spans="2:5">
      <c r="B181" t="str">
        <f>IF(OR('Asset Class Tables and Dropdown'!A125 &lt;&gt; "Real Estate", 'Asset Class Tables and Dropdown'!A125 &lt;&gt; "Name", 'Asset Class Tables and Dropdown'!A125 &lt;&gt; "Private Lending", 'Asset Class Tables and Dropdown'!A125 &lt;&gt; "Private Equity", 'Asset Class Tables and Dropdown'!A125 &lt;&gt; "Natural Resources", 'Asset Class Tables and Dropdown'!A125 &lt;&gt; "Absolute Return", 'Asset Class Tables and Dropdown'!A125 &lt;&gt; "Fixed Income", 'Asset Class Tables and Dropdown'!A125 &lt;&gt; "Public Equity", 'Asset Class Tables and Dropdown'!A125 &lt;&gt; ""), 'Asset Class Tables and Dropdown'!A125, "")</f>
        <v>JP Morgan Mid Cap Growth</v>
      </c>
      <c r="D181" s="182">
        <f>SUMIF('Investment Proposal Inputs'!$M$29:$M$141, Investment_Proposal_Calculations51[[#This Row],[Ticker **Must Match Investment Proposal Inputs**]], 'Investment Proposal Inputs'!$N$29:$N$141)</f>
        <v>0</v>
      </c>
      <c r="E181"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82" spans="2:5">
      <c r="B182" t="str">
        <f>IF(OR('Asset Class Tables and Dropdown'!A126 &lt;&gt; "Real Estate", 'Asset Class Tables and Dropdown'!A126 &lt;&gt; "Name", 'Asset Class Tables and Dropdown'!A126 &lt;&gt; "Private Lending", 'Asset Class Tables and Dropdown'!A126 &lt;&gt; "Private Equity", 'Asset Class Tables and Dropdown'!A126 &lt;&gt; "Natural Resources", 'Asset Class Tables and Dropdown'!A126 &lt;&gt; "Absolute Return", 'Asset Class Tables and Dropdown'!A126 &lt;&gt; "Fixed Income", 'Asset Class Tables and Dropdown'!A126 &lt;&gt; "Public Equity", 'Asset Class Tables and Dropdown'!A126 &lt;&gt; ""), 'Asset Class Tables and Dropdown'!A126, "")</f>
        <v>Main Street Capital Corporation</v>
      </c>
      <c r="D182" s="182">
        <f>SUMIF('Investment Proposal Inputs'!$M$29:$M$141, Investment_Proposal_Calculations51[[#This Row],[Ticker **Must Match Investment Proposal Inputs**]], 'Investment Proposal Inputs'!$N$29:$N$141)</f>
        <v>0</v>
      </c>
      <c r="E182"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83" spans="2:5">
      <c r="B183" t="str">
        <f>IF(OR('Asset Class Tables and Dropdown'!A127 &lt;&gt; "Real Estate", 'Asset Class Tables and Dropdown'!A127 &lt;&gt; "Name", 'Asset Class Tables and Dropdown'!A127 &lt;&gt; "Private Lending", 'Asset Class Tables and Dropdown'!A127 &lt;&gt; "Private Equity", 'Asset Class Tables and Dropdown'!A127 &lt;&gt; "Natural Resources", 'Asset Class Tables and Dropdown'!A127 &lt;&gt; "Absolute Return", 'Asset Class Tables and Dropdown'!A127 &lt;&gt; "Fixed Income", 'Asset Class Tables and Dropdown'!A127 &lt;&gt; "Public Equity", 'Asset Class Tables and Dropdown'!A127 &lt;&gt; ""), 'Asset Class Tables and Dropdown'!A127, "")</f>
        <v>Marriott</v>
      </c>
      <c r="D183" s="182">
        <f>SUMIF('Investment Proposal Inputs'!$M$29:$M$141, Investment_Proposal_Calculations51[[#This Row],[Ticker **Must Match Investment Proposal Inputs**]], 'Investment Proposal Inputs'!$N$29:$N$141)</f>
        <v>0</v>
      </c>
      <c r="E183"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84" spans="2:5">
      <c r="B184" t="str">
        <f>IF(OR('Asset Class Tables and Dropdown'!A128 &lt;&gt; "Real Estate", 'Asset Class Tables and Dropdown'!A128 &lt;&gt; "Name", 'Asset Class Tables and Dropdown'!A128 &lt;&gt; "Private Lending", 'Asset Class Tables and Dropdown'!A128 &lt;&gt; "Private Equity", 'Asset Class Tables and Dropdown'!A128 &lt;&gt; "Natural Resources", 'Asset Class Tables and Dropdown'!A128 &lt;&gt; "Absolute Return", 'Asset Class Tables and Dropdown'!A128 &lt;&gt; "Fixed Income", 'Asset Class Tables and Dropdown'!A128 &lt;&gt; "Public Equity", 'Asset Class Tables and Dropdown'!A128 &lt;&gt; ""), 'Asset Class Tables and Dropdown'!A128, "")</f>
        <v>MidCap Financial Investment Corp</v>
      </c>
      <c r="D184" s="182">
        <f>SUMIF('Investment Proposal Inputs'!$M$29:$M$141, Investment_Proposal_Calculations51[[#This Row],[Ticker **Must Match Investment Proposal Inputs**]], 'Investment Proposal Inputs'!$N$29:$N$141)</f>
        <v>0</v>
      </c>
      <c r="E184"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85" spans="2:5">
      <c r="B185" t="str">
        <f>IF(OR('Asset Class Tables and Dropdown'!A129 &lt;&gt; "Real Estate", 'Asset Class Tables and Dropdown'!A129 &lt;&gt; "Name", 'Asset Class Tables and Dropdown'!A129 &lt;&gt; "Private Lending", 'Asset Class Tables and Dropdown'!A129 &lt;&gt; "Private Equity", 'Asset Class Tables and Dropdown'!A129 &lt;&gt; "Natural Resources", 'Asset Class Tables and Dropdown'!A129 &lt;&gt; "Absolute Return", 'Asset Class Tables and Dropdown'!A129 &lt;&gt; "Fixed Income", 'Asset Class Tables and Dropdown'!A129 &lt;&gt; "Public Equity", 'Asset Class Tables and Dropdown'!A129 &lt;&gt; ""), 'Asset Class Tables and Dropdown'!A129, "")</f>
        <v>Needham Small Cap Growth</v>
      </c>
      <c r="D185" s="182">
        <f>SUMIF('Investment Proposal Inputs'!$M$29:$M$141, Investment_Proposal_Calculations51[[#This Row],[Ticker **Must Match Investment Proposal Inputs**]], 'Investment Proposal Inputs'!$N$29:$N$141)</f>
        <v>0</v>
      </c>
      <c r="E185"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86" spans="2:5">
      <c r="B186" t="str">
        <f>IF(OR('Asset Class Tables and Dropdown'!A130 &lt;&gt; "Real Estate", 'Asset Class Tables and Dropdown'!A130 &lt;&gt; "Name", 'Asset Class Tables and Dropdown'!A130 &lt;&gt; "Private Lending", 'Asset Class Tables and Dropdown'!A130 &lt;&gt; "Private Equity", 'Asset Class Tables and Dropdown'!A130 &lt;&gt; "Natural Resources", 'Asset Class Tables and Dropdown'!A130 &lt;&gt; "Absolute Return", 'Asset Class Tables and Dropdown'!A130 &lt;&gt; "Fixed Income", 'Asset Class Tables and Dropdown'!A130 &lt;&gt; "Public Equity", 'Asset Class Tables and Dropdown'!A130 &lt;&gt; ""), 'Asset Class Tables and Dropdown'!A130, "")</f>
        <v>Norwegian Cruise Line</v>
      </c>
      <c r="D186" s="182">
        <f>SUMIF('Investment Proposal Inputs'!$M$29:$M$141, Investment_Proposal_Calculations51[[#This Row],[Ticker **Must Match Investment Proposal Inputs**]], 'Investment Proposal Inputs'!$N$29:$N$141)</f>
        <v>0</v>
      </c>
      <c r="E186"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87" spans="2:5">
      <c r="B187" t="str">
        <f>IF(OR('Asset Class Tables and Dropdown'!A131 &lt;&gt; "Real Estate", 'Asset Class Tables and Dropdown'!A131 &lt;&gt; "Name", 'Asset Class Tables and Dropdown'!A131 &lt;&gt; "Private Lending", 'Asset Class Tables and Dropdown'!A131 &lt;&gt; "Private Equity", 'Asset Class Tables and Dropdown'!A131 &lt;&gt; "Natural Resources", 'Asset Class Tables and Dropdown'!A131 &lt;&gt; "Absolute Return", 'Asset Class Tables and Dropdown'!A131 &lt;&gt; "Fixed Income", 'Asset Class Tables and Dropdown'!A131 &lt;&gt; "Public Equity", 'Asset Class Tables and Dropdown'!A131 &lt;&gt; ""), 'Asset Class Tables and Dropdown'!A131, "")</f>
        <v>Owl Rock Capital Corp</v>
      </c>
      <c r="D187" s="182">
        <f>SUMIF('Investment Proposal Inputs'!$M$29:$M$141, Investment_Proposal_Calculations51[[#This Row],[Ticker **Must Match Investment Proposal Inputs**]], 'Investment Proposal Inputs'!$N$29:$N$141)</f>
        <v>0</v>
      </c>
      <c r="E187"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88" spans="2:5">
      <c r="B188" t="str">
        <f>IF(OR('Asset Class Tables and Dropdown'!A132 &lt;&gt; "Real Estate", 'Asset Class Tables and Dropdown'!A132 &lt;&gt; "Name", 'Asset Class Tables and Dropdown'!A132 &lt;&gt; "Private Lending", 'Asset Class Tables and Dropdown'!A132 &lt;&gt; "Private Equity", 'Asset Class Tables and Dropdown'!A132 &lt;&gt; "Natural Resources", 'Asset Class Tables and Dropdown'!A132 &lt;&gt; "Absolute Return", 'Asset Class Tables and Dropdown'!A132 &lt;&gt; "Fixed Income", 'Asset Class Tables and Dropdown'!A132 &lt;&gt; "Public Equity", 'Asset Class Tables and Dropdown'!A132 &lt;&gt; ""), 'Asset Class Tables and Dropdown'!A132, "")</f>
        <v>PGIM Jennison Global Opportunities</v>
      </c>
      <c r="D188" s="182">
        <f>SUMIF('Investment Proposal Inputs'!$M$29:$M$141, Investment_Proposal_Calculations51[[#This Row],[Ticker **Must Match Investment Proposal Inputs**]], 'Investment Proposal Inputs'!$N$29:$N$141)</f>
        <v>0</v>
      </c>
      <c r="E188"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89" spans="2:5">
      <c r="B189" t="str">
        <f>IF(OR('Asset Class Tables and Dropdown'!A133 &lt;&gt; "Real Estate", 'Asset Class Tables and Dropdown'!A133 &lt;&gt; "Name", 'Asset Class Tables and Dropdown'!A133 &lt;&gt; "Private Lending", 'Asset Class Tables and Dropdown'!A133 &lt;&gt; "Private Equity", 'Asset Class Tables and Dropdown'!A133 &lt;&gt; "Natural Resources", 'Asset Class Tables and Dropdown'!A133 &lt;&gt; "Absolute Return", 'Asset Class Tables and Dropdown'!A133 &lt;&gt; "Fixed Income", 'Asset Class Tables and Dropdown'!A133 &lt;&gt; "Public Equity", 'Asset Class Tables and Dropdown'!A133 &lt;&gt; ""), 'Asset Class Tables and Dropdown'!A133, "")</f>
        <v>PGIM Jennsion Emerging Markets Equities Opportunity</v>
      </c>
      <c r="D189" s="182">
        <f>SUMIF('Investment Proposal Inputs'!$M$29:$M$141, Investment_Proposal_Calculations51[[#This Row],[Ticker **Must Match Investment Proposal Inputs**]], 'Investment Proposal Inputs'!$N$29:$N$141)</f>
        <v>0</v>
      </c>
      <c r="E189"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90" spans="2:5">
      <c r="B190" t="str">
        <f>IF(OR('Asset Class Tables and Dropdown'!A134 &lt;&gt; "Real Estate", 'Asset Class Tables and Dropdown'!A134 &lt;&gt; "Name", 'Asset Class Tables and Dropdown'!A134 &lt;&gt; "Private Lending", 'Asset Class Tables and Dropdown'!A134 &lt;&gt; "Private Equity", 'Asset Class Tables and Dropdown'!A134 &lt;&gt; "Natural Resources", 'Asset Class Tables and Dropdown'!A134 &lt;&gt; "Absolute Return", 'Asset Class Tables and Dropdown'!A134 &lt;&gt; "Fixed Income", 'Asset Class Tables and Dropdown'!A134 &lt;&gt; "Public Equity", 'Asset Class Tables and Dropdown'!A134 &lt;&gt; ""), 'Asset Class Tables and Dropdown'!A134, "")</f>
        <v>Plymouth Industrial REIT</v>
      </c>
      <c r="D190" s="182">
        <f>SUMIF('Investment Proposal Inputs'!$M$29:$M$141, Investment_Proposal_Calculations51[[#This Row],[Ticker **Must Match Investment Proposal Inputs**]], 'Investment Proposal Inputs'!$N$29:$N$141)</f>
        <v>0</v>
      </c>
      <c r="E190"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91" spans="2:5">
      <c r="B191" t="str">
        <f>IF(OR('Asset Class Tables and Dropdown'!A135 &lt;&gt; "Real Estate", 'Asset Class Tables and Dropdown'!A135 &lt;&gt; "Name", 'Asset Class Tables and Dropdown'!A135 &lt;&gt; "Private Lending", 'Asset Class Tables and Dropdown'!A135 &lt;&gt; "Private Equity", 'Asset Class Tables and Dropdown'!A135 &lt;&gt; "Natural Resources", 'Asset Class Tables and Dropdown'!A135 &lt;&gt; "Absolute Return", 'Asset Class Tables and Dropdown'!A135 &lt;&gt; "Fixed Income", 'Asset Class Tables and Dropdown'!A135 &lt;&gt; "Public Equity", 'Asset Class Tables and Dropdown'!A135 &lt;&gt; ""), 'Asset Class Tables and Dropdown'!A135, "")</f>
        <v>Royal Caribbean Cruises</v>
      </c>
      <c r="D191" s="182">
        <f>SUMIF('Investment Proposal Inputs'!$M$29:$M$141, Investment_Proposal_Calculations51[[#This Row],[Ticker **Must Match Investment Proposal Inputs**]], 'Investment Proposal Inputs'!$N$29:$N$141)</f>
        <v>0</v>
      </c>
      <c r="E191"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92" spans="2:5">
      <c r="B192" t="str">
        <f>IF(OR('Asset Class Tables and Dropdown'!A136 &lt;&gt; "Real Estate", 'Asset Class Tables and Dropdown'!A136 &lt;&gt; "Name", 'Asset Class Tables and Dropdown'!A136 &lt;&gt; "Private Lending", 'Asset Class Tables and Dropdown'!A136 &lt;&gt; "Private Equity", 'Asset Class Tables and Dropdown'!A136 &lt;&gt; "Natural Resources", 'Asset Class Tables and Dropdown'!A136 &lt;&gt; "Absolute Return", 'Asset Class Tables and Dropdown'!A136 &lt;&gt; "Fixed Income", 'Asset Class Tables and Dropdown'!A136 &lt;&gt; "Public Equity", 'Asset Class Tables and Dropdown'!A136 &lt;&gt; ""), 'Asset Class Tables and Dropdown'!A136, "")</f>
        <v>Sixth Street Specialty Lending</v>
      </c>
      <c r="D192" s="182">
        <f>SUMIF('Investment Proposal Inputs'!$M$29:$M$141, Investment_Proposal_Calculations51[[#This Row],[Ticker **Must Match Investment Proposal Inputs**]], 'Investment Proposal Inputs'!$N$29:$N$141)</f>
        <v>0</v>
      </c>
      <c r="E192"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93" spans="2:5">
      <c r="B193" t="str">
        <f>IF(OR('Asset Class Tables and Dropdown'!A137 &lt;&gt; "Real Estate", 'Asset Class Tables and Dropdown'!A137 &lt;&gt; "Name", 'Asset Class Tables and Dropdown'!A137 &lt;&gt; "Private Lending", 'Asset Class Tables and Dropdown'!A137 &lt;&gt; "Private Equity", 'Asset Class Tables and Dropdown'!A137 &lt;&gt; "Natural Resources", 'Asset Class Tables and Dropdown'!A137 &lt;&gt; "Absolute Return", 'Asset Class Tables and Dropdown'!A137 &lt;&gt; "Fixed Income", 'Asset Class Tables and Dropdown'!A137 &lt;&gt; "Public Equity", 'Asset Class Tables and Dropdown'!A137 &lt;&gt; ""), 'Asset Class Tables and Dropdown'!A137, "")</f>
        <v>S&amp;P500 Structured Note - Growth</v>
      </c>
      <c r="D193" s="182">
        <f>SUMIF('Investment Proposal Inputs'!$M$29:$M$141, Investment_Proposal_Calculations51[[#This Row],[Ticker **Must Match Investment Proposal Inputs**]], 'Investment Proposal Inputs'!$N$29:$N$141)</f>
        <v>0</v>
      </c>
      <c r="E193"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94" spans="2:5">
      <c r="B194" t="str">
        <f>IF(OR('Asset Class Tables and Dropdown'!A138 &lt;&gt; "Real Estate", 'Asset Class Tables and Dropdown'!A138 &lt;&gt; "Name", 'Asset Class Tables and Dropdown'!A138 &lt;&gt; "Private Lending", 'Asset Class Tables and Dropdown'!A138 &lt;&gt; "Private Equity", 'Asset Class Tables and Dropdown'!A138 &lt;&gt; "Natural Resources", 'Asset Class Tables and Dropdown'!A138 &lt;&gt; "Absolute Return", 'Asset Class Tables and Dropdown'!A138 &lt;&gt; "Fixed Income", 'Asset Class Tables and Dropdown'!A138 &lt;&gt; "Public Equity", 'Asset Class Tables and Dropdown'!A138 &lt;&gt; ""), 'Asset Class Tables and Dropdown'!A138, "")</f>
        <v>Southwest Airlines</v>
      </c>
      <c r="D194" s="182">
        <f>SUMIF('Investment Proposal Inputs'!$M$29:$M$141, Investment_Proposal_Calculations51[[#This Row],[Ticker **Must Match Investment Proposal Inputs**]], 'Investment Proposal Inputs'!$N$29:$N$141)</f>
        <v>0</v>
      </c>
      <c r="E194"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95" spans="2:5">
      <c r="B195" t="str">
        <f>IF(OR('Asset Class Tables and Dropdown'!A139 &lt;&gt; "Real Estate", 'Asset Class Tables and Dropdown'!A139 &lt;&gt; "Name", 'Asset Class Tables and Dropdown'!A139 &lt;&gt; "Private Lending", 'Asset Class Tables and Dropdown'!A139 &lt;&gt; "Private Equity", 'Asset Class Tables and Dropdown'!A139 &lt;&gt; "Natural Resources", 'Asset Class Tables and Dropdown'!A139 &lt;&gt; "Absolute Return", 'Asset Class Tables and Dropdown'!A139 &lt;&gt; "Fixed Income", 'Asset Class Tables and Dropdown'!A139 &lt;&gt; "Public Equity", 'Asset Class Tables and Dropdown'!A139 &lt;&gt; ""), 'Asset Class Tables and Dropdown'!A139, "")</f>
        <v xml:space="preserve">Taiwan Semiconductor </v>
      </c>
      <c r="D195" s="182">
        <f>SUMIF('Investment Proposal Inputs'!$M$29:$M$141, Investment_Proposal_Calculations51[[#This Row],[Ticker **Must Match Investment Proposal Inputs**]], 'Investment Proposal Inputs'!$N$29:$N$141)</f>
        <v>0</v>
      </c>
      <c r="E195"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96" spans="2:5">
      <c r="B196" t="str">
        <f>IF(OR('Asset Class Tables and Dropdown'!A140 &lt;&gt; "Real Estate", 'Asset Class Tables and Dropdown'!A140 &lt;&gt; "Name", 'Asset Class Tables and Dropdown'!A140 &lt;&gt; "Private Lending", 'Asset Class Tables and Dropdown'!A140 &lt;&gt; "Private Equity", 'Asset Class Tables and Dropdown'!A140 &lt;&gt; "Natural Resources", 'Asset Class Tables and Dropdown'!A140 &lt;&gt; "Absolute Return", 'Asset Class Tables and Dropdown'!A140 &lt;&gt; "Fixed Income", 'Asset Class Tables and Dropdown'!A140 &lt;&gt; "Public Equity", 'Asset Class Tables and Dropdown'!A140 &lt;&gt; ""), 'Asset Class Tables and Dropdown'!A140, "")</f>
        <v>Undiscovered Managers Behavioral Value</v>
      </c>
      <c r="D196" s="182">
        <f>SUMIF('Investment Proposal Inputs'!$M$29:$M$141, Investment_Proposal_Calculations51[[#This Row],[Ticker **Must Match Investment Proposal Inputs**]], 'Investment Proposal Inputs'!$N$29:$N$141)</f>
        <v>0</v>
      </c>
      <c r="E196"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row r="197" spans="2:5">
      <c r="B197" t="str">
        <f>IF(OR('Asset Class Tables and Dropdown'!A141 &lt;&gt; "Real Estate", 'Asset Class Tables and Dropdown'!A141 &lt;&gt; "Name", 'Asset Class Tables and Dropdown'!A141 &lt;&gt; "Private Lending", 'Asset Class Tables and Dropdown'!A141 &lt;&gt; "Private Equity", 'Asset Class Tables and Dropdown'!A141 &lt;&gt; "Natural Resources", 'Asset Class Tables and Dropdown'!A141 &lt;&gt; "Absolute Return", 'Asset Class Tables and Dropdown'!A141 &lt;&gt; "Fixed Income", 'Asset Class Tables and Dropdown'!A141 &lt;&gt; "Public Equity", 'Asset Class Tables and Dropdown'!A141 &lt;&gt; ""), 'Asset Class Tables and Dropdown'!A141, "")</f>
        <v>Zscaler Inc</v>
      </c>
      <c r="D197" s="182">
        <f>SUMIF('Investment Proposal Inputs'!$M$29:$M$141, Investment_Proposal_Calculations51[[#This Row],[Ticker **Must Match Investment Proposal Inputs**]], 'Investment Proposal Inputs'!$N$29:$N$141)</f>
        <v>0</v>
      </c>
      <c r="E197" s="257">
        <f>IF(Investment_Proposal_Calculations51[[#This Row],[Name]] = $B$5, 0, IF(Investment_Proposal_Calculations51[[#This Row],[Name]] = $B$6, 0, IF(Investment_Proposal_Calculations51[[#This Row],[Name]] = $B$7, 0, IF(Investment_Proposal_Calculations51[[#This Row],[Name]] = $B$8, 0, IF(Investment_Proposal_Calculations51[[#This Row],[Name]] = $B$9, 0, IF(Investment_Proposal_Calculations51[[#This Row],[Name]] = $B$10, 0, IF(Investment_Proposal_Calculations51[[#This Row],[Name]] = $B$11, 0, IF(Investment_Proposal_Calculations51[[#This Row],[Name]] = $B$12, 0, IF(Investment_Proposal_Calculations51[[#This Row],[Name]] = $B$13, 0, 1)))))))))</f>
        <v>1</v>
      </c>
    </row>
  </sheetData>
  <mergeCells count="6">
    <mergeCell ref="B46:C46"/>
    <mergeCell ref="E3:F3"/>
    <mergeCell ref="B25:C25"/>
    <mergeCell ref="B26:C26"/>
    <mergeCell ref="B27:C27"/>
    <mergeCell ref="B28:C28"/>
  </mergeCells>
  <pageMargins left="0.7" right="0.7" top="0.75" bottom="0.75" header="0.3" footer="0.3"/>
  <pageSetup orientation="portrait" horizontalDpi="0" verticalDpi="0"/>
  <tableParts count="6">
    <tablePart r:id="rId1"/>
    <tablePart r:id="rId2"/>
    <tablePart r:id="rId3"/>
    <tablePart r:id="rId4"/>
    <tablePart r:id="rId5"/>
    <tablePart r:id="rId6"/>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605ED-32A2-8B4E-B084-D750E393D4FE}">
  <sheetPr codeName="Sheet14">
    <tabColor theme="3"/>
  </sheetPr>
  <dimension ref="B2:AB45"/>
  <sheetViews>
    <sheetView showGridLines="0" workbookViewId="0">
      <pane ySplit="2" topLeftCell="A3" activePane="bottomLeft" state="frozen"/>
      <selection pane="bottomLeft" activeCell="B38" sqref="B38"/>
    </sheetView>
  </sheetViews>
  <sheetFormatPr baseColWidth="10" defaultColWidth="8.83203125" defaultRowHeight="15"/>
  <cols>
    <col min="2" max="2" width="54.6640625" bestFit="1" customWidth="1"/>
    <col min="3" max="3" width="5.5" style="177" bestFit="1" customWidth="1"/>
    <col min="4" max="4" width="13.6640625" style="177" bestFit="1" customWidth="1"/>
    <col min="5" max="5" width="54.6640625" bestFit="1" customWidth="1"/>
    <col min="6" max="7" width="6" style="177" bestFit="1" customWidth="1"/>
    <col min="8" max="8" width="41.6640625" bestFit="1" customWidth="1"/>
    <col min="9" max="9" width="5" style="177" bestFit="1" customWidth="1"/>
    <col min="10" max="10" width="12" style="177" bestFit="1" customWidth="1"/>
    <col min="11" max="11" width="15.1640625" customWidth="1"/>
    <col min="13" max="13" width="1.5" bestFit="1" customWidth="1"/>
    <col min="14" max="14" width="23" bestFit="1" customWidth="1"/>
    <col min="15" max="16" width="8.83203125" style="177"/>
    <col min="17" max="17" width="11.1640625" customWidth="1"/>
    <col min="18" max="18" width="8.83203125" style="177"/>
    <col min="19" max="19" width="20.83203125" customWidth="1"/>
    <col min="20" max="20" width="8.83203125" style="177"/>
    <col min="21" max="21" width="22.83203125" bestFit="1" customWidth="1"/>
    <col min="22" max="22" width="8.83203125" style="177"/>
    <col min="23" max="23" width="17.1640625" customWidth="1"/>
    <col min="24" max="24" width="8.83203125" style="177"/>
    <col min="25" max="25" width="30.6640625" customWidth="1"/>
    <col min="26" max="26" width="7.83203125" style="177" customWidth="1"/>
    <col min="28" max="28" width="8.83203125" style="177"/>
  </cols>
  <sheetData>
    <row r="2" spans="2:28" ht="26">
      <c r="B2" s="204" t="s">
        <v>91</v>
      </c>
    </row>
    <row r="3" spans="2:28">
      <c r="C3"/>
      <c r="D3"/>
      <c r="F3"/>
      <c r="G3"/>
      <c r="I3"/>
      <c r="J3"/>
      <c r="O3"/>
      <c r="P3"/>
      <c r="R3"/>
      <c r="T3"/>
      <c r="V3"/>
      <c r="X3"/>
      <c r="Z3"/>
      <c r="AB3"/>
    </row>
    <row r="4" spans="2:28" ht="24">
      <c r="B4" s="194" t="s">
        <v>92</v>
      </c>
      <c r="E4" s="194" t="s">
        <v>730</v>
      </c>
      <c r="H4" s="194" t="s">
        <v>99</v>
      </c>
    </row>
    <row r="5" spans="2:28" ht="15.5" customHeight="1">
      <c r="B5" s="199" t="s">
        <v>266</v>
      </c>
      <c r="C5" s="199" t="s">
        <v>267</v>
      </c>
      <c r="D5" s="190"/>
      <c r="E5" s="199" t="s">
        <v>266</v>
      </c>
      <c r="F5" s="199" t="s">
        <v>267</v>
      </c>
      <c r="G5" s="190"/>
      <c r="H5" s="199" t="s">
        <v>266</v>
      </c>
      <c r="I5" s="199" t="s">
        <v>267</v>
      </c>
      <c r="J5" s="190"/>
      <c r="K5" s="190"/>
      <c r="L5" s="190"/>
      <c r="N5" s="177"/>
      <c r="O5"/>
      <c r="X5"/>
      <c r="Z5"/>
      <c r="AB5"/>
    </row>
    <row r="6" spans="2:28">
      <c r="B6" t="s">
        <v>268</v>
      </c>
      <c r="C6" s="177">
        <v>0.47</v>
      </c>
      <c r="D6" s="191"/>
      <c r="E6" t="s">
        <v>269</v>
      </c>
      <c r="F6" s="177">
        <v>0.15</v>
      </c>
      <c r="H6" t="s">
        <v>270</v>
      </c>
      <c r="I6" s="177">
        <v>0.42</v>
      </c>
      <c r="J6" s="191"/>
      <c r="K6" s="177"/>
      <c r="L6" s="177"/>
      <c r="N6" s="177"/>
      <c r="O6"/>
      <c r="X6"/>
      <c r="Z6"/>
      <c r="AB6"/>
    </row>
    <row r="7" spans="2:28">
      <c r="B7" t="s">
        <v>270</v>
      </c>
      <c r="C7" s="177">
        <v>0.18</v>
      </c>
      <c r="D7" s="191"/>
      <c r="E7" t="s">
        <v>271</v>
      </c>
      <c r="F7" s="177">
        <v>0.25</v>
      </c>
      <c r="H7" t="s">
        <v>272</v>
      </c>
      <c r="I7" s="177">
        <v>0.4</v>
      </c>
      <c r="J7" s="191"/>
      <c r="L7" s="177"/>
      <c r="N7" s="177"/>
      <c r="O7"/>
      <c r="Z7"/>
      <c r="AB7"/>
    </row>
    <row r="8" spans="2:28">
      <c r="B8" t="s">
        <v>273</v>
      </c>
      <c r="C8" s="177">
        <v>0.14000000000000001</v>
      </c>
      <c r="D8" s="191"/>
      <c r="E8" t="s">
        <v>274</v>
      </c>
      <c r="F8" s="177">
        <v>0.3</v>
      </c>
      <c r="H8" t="s">
        <v>275</v>
      </c>
      <c r="I8" s="177">
        <v>0.18</v>
      </c>
      <c r="J8" s="191"/>
      <c r="L8" s="177"/>
      <c r="N8" s="177"/>
      <c r="O8"/>
      <c r="Z8"/>
      <c r="AB8"/>
    </row>
    <row r="9" spans="2:28">
      <c r="B9" t="s">
        <v>276</v>
      </c>
      <c r="C9" s="177">
        <v>0.12</v>
      </c>
      <c r="D9" s="191"/>
      <c r="E9" t="s">
        <v>277</v>
      </c>
      <c r="F9" s="177">
        <v>0.3</v>
      </c>
      <c r="J9" s="190"/>
      <c r="M9" t="s">
        <v>278</v>
      </c>
    </row>
    <row r="10" spans="2:28">
      <c r="B10" t="s">
        <v>275</v>
      </c>
      <c r="C10" s="177">
        <v>0.09</v>
      </c>
      <c r="D10" s="191"/>
    </row>
    <row r="11" spans="2:28">
      <c r="D11" s="190"/>
    </row>
    <row r="12" spans="2:28" ht="24">
      <c r="B12" s="194" t="s">
        <v>100</v>
      </c>
      <c r="D12" s="190"/>
      <c r="E12" s="194" t="s">
        <v>101</v>
      </c>
      <c r="H12" s="194" t="s">
        <v>102</v>
      </c>
    </row>
    <row r="13" spans="2:28" ht="15.5" customHeight="1">
      <c r="B13" s="200" t="s">
        <v>266</v>
      </c>
      <c r="C13" s="200" t="s">
        <v>267</v>
      </c>
      <c r="D13" s="190"/>
      <c r="E13" s="200" t="s">
        <v>266</v>
      </c>
      <c r="F13" s="200" t="s">
        <v>267</v>
      </c>
      <c r="G13" s="190"/>
      <c r="H13" s="200" t="s">
        <v>266</v>
      </c>
      <c r="I13" s="200" t="s">
        <v>267</v>
      </c>
      <c r="J13" s="190"/>
      <c r="K13" s="190"/>
      <c r="M13" s="177"/>
      <c r="P13"/>
      <c r="Q13" s="177"/>
      <c r="R13"/>
      <c r="S13" s="177"/>
      <c r="T13"/>
      <c r="U13" s="177"/>
      <c r="V13"/>
      <c r="X13"/>
      <c r="Z13"/>
      <c r="AB13"/>
    </row>
    <row r="14" spans="2:28">
      <c r="B14" t="s">
        <v>279</v>
      </c>
      <c r="C14" s="177">
        <v>0.25</v>
      </c>
      <c r="E14" t="s">
        <v>280</v>
      </c>
      <c r="F14" s="177">
        <v>0.6</v>
      </c>
      <c r="H14" t="s">
        <v>280</v>
      </c>
      <c r="I14" s="177">
        <v>0.4</v>
      </c>
      <c r="K14" s="177"/>
      <c r="M14" s="177"/>
      <c r="P14"/>
      <c r="Q14" s="177"/>
      <c r="R14"/>
      <c r="S14" s="177"/>
      <c r="T14"/>
      <c r="U14" s="177"/>
      <c r="V14"/>
      <c r="X14"/>
      <c r="Z14"/>
      <c r="AB14"/>
    </row>
    <row r="15" spans="2:28">
      <c r="B15" t="s">
        <v>280</v>
      </c>
      <c r="C15" s="177">
        <v>0.5</v>
      </c>
      <c r="E15" t="s">
        <v>281</v>
      </c>
      <c r="F15" s="177">
        <v>0.4</v>
      </c>
      <c r="H15" t="s">
        <v>281</v>
      </c>
      <c r="I15" s="177">
        <v>0.6</v>
      </c>
      <c r="K15" s="177"/>
      <c r="M15" s="177"/>
      <c r="P15"/>
      <c r="Q15" s="177"/>
      <c r="R15"/>
      <c r="S15" s="177"/>
      <c r="T15"/>
      <c r="U15" s="177"/>
      <c r="V15"/>
      <c r="X15"/>
      <c r="Z15"/>
      <c r="AB15"/>
    </row>
    <row r="16" spans="2:28">
      <c r="B16" t="s">
        <v>281</v>
      </c>
      <c r="C16" s="177">
        <v>0.1</v>
      </c>
      <c r="K16" s="177"/>
      <c r="M16" s="177"/>
      <c r="P16"/>
      <c r="Q16" s="177"/>
      <c r="R16"/>
      <c r="S16" s="177"/>
      <c r="T16"/>
      <c r="U16" s="177"/>
      <c r="V16"/>
      <c r="X16"/>
      <c r="Z16"/>
      <c r="AB16"/>
    </row>
    <row r="17" spans="2:28" ht="24">
      <c r="B17" t="s">
        <v>282</v>
      </c>
      <c r="C17" s="177">
        <v>0.15</v>
      </c>
      <c r="E17" s="194" t="s">
        <v>283</v>
      </c>
      <c r="H17" s="194" t="s">
        <v>284</v>
      </c>
      <c r="K17" s="177"/>
      <c r="M17" s="177"/>
      <c r="P17"/>
      <c r="Q17" s="177"/>
      <c r="R17"/>
      <c r="S17" s="177"/>
      <c r="T17"/>
      <c r="U17" s="177"/>
      <c r="V17"/>
      <c r="X17"/>
      <c r="Z17"/>
      <c r="AB17"/>
    </row>
    <row r="18" spans="2:28">
      <c r="E18" s="192" t="s">
        <v>266</v>
      </c>
      <c r="F18"/>
      <c r="H18" s="192" t="s">
        <v>266</v>
      </c>
      <c r="P18"/>
      <c r="Q18" s="177"/>
      <c r="R18"/>
      <c r="S18" s="177"/>
      <c r="T18"/>
      <c r="U18" s="177"/>
      <c r="V18"/>
      <c r="W18" s="177"/>
      <c r="X18"/>
      <c r="Z18"/>
      <c r="AB18"/>
    </row>
    <row r="19" spans="2:28" ht="24">
      <c r="B19" s="194" t="s">
        <v>103</v>
      </c>
      <c r="E19" t="s">
        <v>285</v>
      </c>
      <c r="F19"/>
      <c r="H19" t="s">
        <v>286</v>
      </c>
      <c r="P19"/>
      <c r="Q19" s="177"/>
      <c r="R19"/>
      <c r="S19" s="177"/>
      <c r="T19"/>
      <c r="U19" s="177"/>
      <c r="V19"/>
      <c r="W19" s="177"/>
      <c r="X19"/>
      <c r="Z19"/>
      <c r="AB19"/>
    </row>
    <row r="20" spans="2:28">
      <c r="B20" s="195" t="s">
        <v>266</v>
      </c>
      <c r="C20" s="195" t="s">
        <v>267</v>
      </c>
      <c r="E20" t="s">
        <v>287</v>
      </c>
      <c r="F20"/>
      <c r="H20" t="s">
        <v>288</v>
      </c>
      <c r="P20"/>
      <c r="Q20" s="177"/>
      <c r="R20"/>
      <c r="S20" s="177"/>
      <c r="T20"/>
      <c r="U20" s="177"/>
      <c r="V20"/>
      <c r="W20" s="177"/>
      <c r="X20"/>
      <c r="Z20"/>
      <c r="AB20"/>
    </row>
    <row r="21" spans="2:28">
      <c r="B21" t="s">
        <v>289</v>
      </c>
      <c r="C21" s="177">
        <v>0.3</v>
      </c>
      <c r="E21" t="s">
        <v>290</v>
      </c>
      <c r="F21"/>
      <c r="H21" t="s">
        <v>291</v>
      </c>
      <c r="P21"/>
      <c r="Q21" s="177"/>
      <c r="R21"/>
      <c r="S21" s="177"/>
      <c r="T21"/>
      <c r="U21" s="177"/>
      <c r="V21"/>
      <c r="W21" s="177"/>
      <c r="X21"/>
      <c r="Z21"/>
      <c r="AB21"/>
    </row>
    <row r="22" spans="2:28">
      <c r="B22" t="s">
        <v>292</v>
      </c>
      <c r="C22" s="177">
        <v>0.3</v>
      </c>
      <c r="E22" t="s">
        <v>293</v>
      </c>
      <c r="F22"/>
      <c r="H22" t="s">
        <v>294</v>
      </c>
      <c r="P22"/>
      <c r="Q22" s="177"/>
      <c r="R22"/>
      <c r="S22" s="177"/>
      <c r="T22"/>
      <c r="U22" s="177"/>
      <c r="V22"/>
      <c r="W22" s="177"/>
      <c r="X22"/>
      <c r="Z22"/>
      <c r="AB22"/>
    </row>
    <row r="23" spans="2:28">
      <c r="B23" t="s">
        <v>295</v>
      </c>
      <c r="C23" s="177">
        <v>0.25</v>
      </c>
      <c r="E23" t="s">
        <v>296</v>
      </c>
      <c r="F23"/>
      <c r="H23" t="s">
        <v>297</v>
      </c>
      <c r="P23"/>
      <c r="Q23" s="177"/>
      <c r="R23"/>
      <c r="S23" s="177"/>
      <c r="T23"/>
      <c r="U23" s="177"/>
      <c r="V23"/>
      <c r="W23" s="177"/>
      <c r="X23"/>
      <c r="Z23"/>
      <c r="AB23"/>
    </row>
    <row r="24" spans="2:28">
      <c r="B24" t="s">
        <v>298</v>
      </c>
      <c r="C24" s="177">
        <v>0.15</v>
      </c>
      <c r="E24" t="s">
        <v>299</v>
      </c>
      <c r="F24"/>
      <c r="H24" t="s">
        <v>300</v>
      </c>
      <c r="P24"/>
      <c r="Q24" s="177"/>
      <c r="R24"/>
      <c r="S24" s="177"/>
      <c r="T24"/>
      <c r="U24" s="177"/>
      <c r="V24"/>
      <c r="W24" s="177"/>
      <c r="X24"/>
      <c r="Z24"/>
      <c r="AB24"/>
    </row>
    <row r="25" spans="2:28">
      <c r="C25"/>
      <c r="F25"/>
      <c r="H25" t="s">
        <v>301</v>
      </c>
      <c r="P25"/>
      <c r="Q25" s="177"/>
      <c r="R25"/>
      <c r="S25" s="177"/>
      <c r="T25"/>
      <c r="U25" s="177"/>
      <c r="V25"/>
      <c r="W25" s="177"/>
      <c r="X25"/>
      <c r="Z25"/>
      <c r="AB25"/>
    </row>
    <row r="26" spans="2:28" ht="24">
      <c r="B26" s="194" t="s">
        <v>302</v>
      </c>
      <c r="C26"/>
      <c r="E26" s="194" t="s">
        <v>105</v>
      </c>
      <c r="F26"/>
      <c r="H26" t="s">
        <v>303</v>
      </c>
    </row>
    <row r="27" spans="2:28">
      <c r="B27" s="196" t="s">
        <v>266</v>
      </c>
      <c r="C27" s="196" t="s">
        <v>267</v>
      </c>
      <c r="E27" s="196" t="s">
        <v>266</v>
      </c>
      <c r="F27" s="196" t="s">
        <v>267</v>
      </c>
      <c r="H27" t="s">
        <v>214</v>
      </c>
    </row>
    <row r="28" spans="2:28">
      <c r="B28" t="s">
        <v>304</v>
      </c>
      <c r="C28" s="177">
        <v>0.3</v>
      </c>
      <c r="E28" t="s">
        <v>304</v>
      </c>
      <c r="F28" s="177">
        <v>0.3</v>
      </c>
      <c r="H28" t="s">
        <v>210</v>
      </c>
    </row>
    <row r="29" spans="2:28">
      <c r="B29" t="s">
        <v>305</v>
      </c>
      <c r="C29" s="177">
        <v>0.3</v>
      </c>
      <c r="E29" t="s">
        <v>305</v>
      </c>
      <c r="F29" s="177">
        <v>0.3</v>
      </c>
      <c r="H29" t="s">
        <v>204</v>
      </c>
    </row>
    <row r="30" spans="2:28">
      <c r="B30" t="s">
        <v>306</v>
      </c>
      <c r="C30" s="177">
        <v>0.2</v>
      </c>
      <c r="E30" t="s">
        <v>306</v>
      </c>
      <c r="F30" s="177">
        <v>0.1</v>
      </c>
    </row>
    <row r="31" spans="2:28">
      <c r="B31" t="s">
        <v>307</v>
      </c>
      <c r="C31" s="177">
        <v>0.2</v>
      </c>
      <c r="E31" t="s">
        <v>307</v>
      </c>
      <c r="F31" s="177">
        <v>0.1</v>
      </c>
    </row>
    <row r="32" spans="2:28">
      <c r="E32" t="s">
        <v>308</v>
      </c>
      <c r="F32" s="177">
        <v>0.1</v>
      </c>
    </row>
    <row r="33" spans="2:7" ht="24">
      <c r="B33" s="194" t="s">
        <v>106</v>
      </c>
      <c r="E33" t="s">
        <v>309</v>
      </c>
      <c r="F33" s="177">
        <v>0.1</v>
      </c>
    </row>
    <row r="34" spans="2:7">
      <c r="B34" s="197" t="s">
        <v>266</v>
      </c>
      <c r="C34" s="197" t="s">
        <v>267</v>
      </c>
    </row>
    <row r="35" spans="2:7" ht="24">
      <c r="B35" t="s">
        <v>310</v>
      </c>
      <c r="C35" s="177">
        <v>1</v>
      </c>
      <c r="E35" s="194" t="s">
        <v>107</v>
      </c>
    </row>
    <row r="36" spans="2:7" ht="16">
      <c r="E36" s="198" t="s">
        <v>266</v>
      </c>
      <c r="F36" s="198" t="s">
        <v>267</v>
      </c>
    </row>
    <row r="37" spans="2:7" ht="24">
      <c r="B37" s="194" t="s">
        <v>113</v>
      </c>
      <c r="E37" t="s">
        <v>311</v>
      </c>
      <c r="F37" s="201">
        <v>0.5</v>
      </c>
    </row>
    <row r="38" spans="2:7">
      <c r="B38" s="209" t="s">
        <v>266</v>
      </c>
      <c r="C38" s="210" t="s">
        <v>267</v>
      </c>
      <c r="E38" s="50" t="s">
        <v>312</v>
      </c>
      <c r="F38" s="205">
        <v>0.35</v>
      </c>
      <c r="G38" s="206">
        <v>0.17499999999999999</v>
      </c>
    </row>
    <row r="39" spans="2:7">
      <c r="B39" t="s">
        <v>313</v>
      </c>
      <c r="C39" s="177">
        <v>0.5</v>
      </c>
      <c r="E39" s="50" t="s">
        <v>270</v>
      </c>
      <c r="F39" s="205">
        <f>G39*2</f>
        <v>0.22</v>
      </c>
      <c r="G39" s="207">
        <v>0.11</v>
      </c>
    </row>
    <row r="40" spans="2:7">
      <c r="B40" t="s">
        <v>113</v>
      </c>
      <c r="C40" s="177">
        <v>0.5</v>
      </c>
      <c r="E40" s="50" t="s">
        <v>275</v>
      </c>
      <c r="F40" s="205">
        <f>G40*2</f>
        <v>0.08</v>
      </c>
      <c r="G40" s="207">
        <v>0.04</v>
      </c>
    </row>
    <row r="41" spans="2:7">
      <c r="E41" s="50" t="s">
        <v>272</v>
      </c>
      <c r="F41" s="205">
        <f>G41*2</f>
        <v>0.2</v>
      </c>
      <c r="G41" s="207">
        <v>0.1</v>
      </c>
    </row>
    <row r="42" spans="2:7">
      <c r="E42" s="50" t="s">
        <v>314</v>
      </c>
      <c r="F42" s="205">
        <v>0.15</v>
      </c>
      <c r="G42" s="206">
        <v>7.4999999999999997E-2</v>
      </c>
    </row>
    <row r="43" spans="2:7">
      <c r="E43" t="s">
        <v>110</v>
      </c>
      <c r="F43" s="202">
        <v>0.2</v>
      </c>
    </row>
    <row r="44" spans="2:7">
      <c r="E44" t="s">
        <v>111</v>
      </c>
      <c r="F44" s="203">
        <v>0.2</v>
      </c>
    </row>
    <row r="45" spans="2:7">
      <c r="E45" t="s">
        <v>112</v>
      </c>
      <c r="F45" s="203">
        <v>0.1</v>
      </c>
    </row>
  </sheetData>
  <pageMargins left="0.7" right="0.7" top="0.75" bottom="0.75" header="0.3" footer="0.3"/>
  <pageSetup orientation="portrait" horizontalDpi="0" verticalDpi="0"/>
  <legacyDrawing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2FDF0-95D0-BE43-A726-061BE845202E}">
  <sheetPr codeName="Sheet15">
    <tabColor theme="3"/>
  </sheetPr>
  <dimension ref="A6:B1000"/>
  <sheetViews>
    <sheetView showGridLines="0" workbookViewId="0">
      <selection activeCell="A34" sqref="A34"/>
    </sheetView>
  </sheetViews>
  <sheetFormatPr baseColWidth="10" defaultColWidth="11.5" defaultRowHeight="15"/>
  <cols>
    <col min="1" max="1" width="43.33203125" bestFit="1" customWidth="1"/>
    <col min="2" max="2" width="48" bestFit="1" customWidth="1"/>
  </cols>
  <sheetData>
    <row r="6" spans="1:2">
      <c r="A6" s="47" t="s">
        <v>315</v>
      </c>
      <c r="B6" s="47" t="s">
        <v>194</v>
      </c>
    </row>
    <row r="7" spans="1:2">
      <c r="A7" s="47" t="s">
        <v>316</v>
      </c>
      <c r="B7" t="s">
        <v>316</v>
      </c>
    </row>
    <row r="8" spans="1:2">
      <c r="A8" s="47" t="s">
        <v>317</v>
      </c>
      <c r="B8" t="s">
        <v>318</v>
      </c>
    </row>
    <row r="9" spans="1:2">
      <c r="A9" s="47" t="s">
        <v>319</v>
      </c>
      <c r="B9" t="s">
        <v>320</v>
      </c>
    </row>
    <row r="10" spans="1:2">
      <c r="A10" s="47" t="s">
        <v>321</v>
      </c>
      <c r="B10" t="s">
        <v>322</v>
      </c>
    </row>
    <row r="11" spans="1:2">
      <c r="A11" s="47" t="s">
        <v>323</v>
      </c>
      <c r="B11" s="47"/>
    </row>
    <row r="12" spans="1:2">
      <c r="A12" s="47" t="s">
        <v>324</v>
      </c>
      <c r="B12" t="s">
        <v>124</v>
      </c>
    </row>
    <row r="13" spans="1:2">
      <c r="A13" s="47" t="s">
        <v>325</v>
      </c>
      <c r="B13" t="s">
        <v>326</v>
      </c>
    </row>
    <row r="14" spans="1:2">
      <c r="A14" s="47" t="s">
        <v>327</v>
      </c>
      <c r="B14" s="47"/>
    </row>
    <row r="15" spans="1:2">
      <c r="A15" s="47" t="s">
        <v>328</v>
      </c>
      <c r="B15" t="s">
        <v>329</v>
      </c>
    </row>
    <row r="16" spans="1:2">
      <c r="A16" s="47" t="s">
        <v>330</v>
      </c>
      <c r="B16" t="s">
        <v>331</v>
      </c>
    </row>
    <row r="17" spans="1:2">
      <c r="A17" s="47" t="s">
        <v>332</v>
      </c>
      <c r="B17" t="s">
        <v>333</v>
      </c>
    </row>
    <row r="18" spans="1:2">
      <c r="A18" s="47" t="s">
        <v>334</v>
      </c>
      <c r="B18" t="s">
        <v>335</v>
      </c>
    </row>
    <row r="19" spans="1:2">
      <c r="A19" s="47" t="s">
        <v>336</v>
      </c>
      <c r="B19" s="47"/>
    </row>
    <row r="20" spans="1:2">
      <c r="A20" s="47" t="s">
        <v>337</v>
      </c>
      <c r="B20" t="s">
        <v>338</v>
      </c>
    </row>
    <row r="21" spans="1:2">
      <c r="A21" s="47" t="s">
        <v>339</v>
      </c>
      <c r="B21" t="s">
        <v>339</v>
      </c>
    </row>
    <row r="22" spans="1:2">
      <c r="A22" s="47" t="s">
        <v>340</v>
      </c>
      <c r="B22" t="s">
        <v>341</v>
      </c>
    </row>
    <row r="23" spans="1:2">
      <c r="A23" s="47" t="s">
        <v>342</v>
      </c>
      <c r="B23" t="s">
        <v>343</v>
      </c>
    </row>
    <row r="24" spans="1:2">
      <c r="A24" s="47" t="s">
        <v>344</v>
      </c>
      <c r="B24" s="47"/>
    </row>
    <row r="25" spans="1:2">
      <c r="A25" s="47" t="s">
        <v>345</v>
      </c>
      <c r="B25" t="s">
        <v>346</v>
      </c>
    </row>
    <row r="26" spans="1:2">
      <c r="A26" s="47" t="s">
        <v>347</v>
      </c>
      <c r="B26" t="s">
        <v>347</v>
      </c>
    </row>
    <row r="27" spans="1:2">
      <c r="A27" s="47" t="s">
        <v>348</v>
      </c>
      <c r="B27" t="s">
        <v>349</v>
      </c>
    </row>
    <row r="28" spans="1:2">
      <c r="A28" s="47" t="s">
        <v>350</v>
      </c>
      <c r="B28" t="s">
        <v>351</v>
      </c>
    </row>
    <row r="29" spans="1:2">
      <c r="A29" s="47" t="s">
        <v>352</v>
      </c>
      <c r="B29" t="s">
        <v>352</v>
      </c>
    </row>
    <row r="30" spans="1:2">
      <c r="A30" s="47" t="s">
        <v>353</v>
      </c>
    </row>
    <row r="31" spans="1:2">
      <c r="A31" s="47" t="s">
        <v>354</v>
      </c>
      <c r="B31" t="s">
        <v>355</v>
      </c>
    </row>
    <row r="32" spans="1:2">
      <c r="A32" s="47" t="s">
        <v>356</v>
      </c>
      <c r="B32" s="47"/>
    </row>
    <row r="33" spans="1:2">
      <c r="A33" s="47" t="s">
        <v>357</v>
      </c>
      <c r="B33" t="s">
        <v>358</v>
      </c>
    </row>
    <row r="34" spans="1:2">
      <c r="A34" s="47" t="s">
        <v>359</v>
      </c>
      <c r="B34" t="s">
        <v>359</v>
      </c>
    </row>
    <row r="35" spans="1:2">
      <c r="A35" s="47" t="s">
        <v>360</v>
      </c>
      <c r="B35" s="47"/>
    </row>
    <row r="36" spans="1:2">
      <c r="A36" s="47" t="s">
        <v>361</v>
      </c>
      <c r="B36" t="s">
        <v>125</v>
      </c>
    </row>
    <row r="37" spans="1:2">
      <c r="A37" s="47" t="s">
        <v>362</v>
      </c>
      <c r="B37" t="s">
        <v>362</v>
      </c>
    </row>
    <row r="38" spans="1:2">
      <c r="A38" s="47" t="s">
        <v>363</v>
      </c>
      <c r="B38" t="s">
        <v>364</v>
      </c>
    </row>
    <row r="39" spans="1:2">
      <c r="A39" s="47" t="s">
        <v>365</v>
      </c>
      <c r="B39" t="s">
        <v>366</v>
      </c>
    </row>
    <row r="40" spans="1:2">
      <c r="A40" s="47" t="s">
        <v>367</v>
      </c>
      <c r="B40" t="s">
        <v>368</v>
      </c>
    </row>
    <row r="41" spans="1:2">
      <c r="A41" s="47" t="s">
        <v>369</v>
      </c>
      <c r="B41" t="s">
        <v>370</v>
      </c>
    </row>
    <row r="42" spans="1:2">
      <c r="A42" s="47" t="s">
        <v>371</v>
      </c>
      <c r="B42" t="s">
        <v>372</v>
      </c>
    </row>
    <row r="43" spans="1:2">
      <c r="A43" s="47" t="s">
        <v>373</v>
      </c>
      <c r="B43" t="s">
        <v>122</v>
      </c>
    </row>
    <row r="44" spans="1:2">
      <c r="A44" s="47" t="s">
        <v>374</v>
      </c>
      <c r="B44" s="47"/>
    </row>
    <row r="45" spans="1:2">
      <c r="A45" s="47" t="s">
        <v>126</v>
      </c>
      <c r="B45" t="s">
        <v>126</v>
      </c>
    </row>
    <row r="46" spans="1:2">
      <c r="A46" s="47" t="s">
        <v>375</v>
      </c>
      <c r="B46" t="s">
        <v>376</v>
      </c>
    </row>
    <row r="47" spans="1:2">
      <c r="A47" s="47" t="s">
        <v>377</v>
      </c>
      <c r="B47" s="47"/>
    </row>
    <row r="48" spans="1:2">
      <c r="A48" s="47" t="s">
        <v>378</v>
      </c>
      <c r="B48" t="s">
        <v>378</v>
      </c>
    </row>
    <row r="49" spans="1:2">
      <c r="A49" s="47" t="s">
        <v>379</v>
      </c>
      <c r="B49" s="47"/>
    </row>
    <row r="50" spans="1:2">
      <c r="A50" s="47" t="s">
        <v>380</v>
      </c>
      <c r="B50" s="47"/>
    </row>
    <row r="51" spans="1:2">
      <c r="A51" s="47" t="s">
        <v>381</v>
      </c>
      <c r="B51" s="47"/>
    </row>
    <row r="52" spans="1:2">
      <c r="A52" s="47" t="s">
        <v>382</v>
      </c>
      <c r="B52" s="47"/>
    </row>
    <row r="53" spans="1:2">
      <c r="A53" s="47" t="s">
        <v>383</v>
      </c>
      <c r="B53" s="47"/>
    </row>
    <row r="54" spans="1:2">
      <c r="A54" s="47" t="s">
        <v>384</v>
      </c>
      <c r="B54" t="s">
        <v>127</v>
      </c>
    </row>
    <row r="55" spans="1:2">
      <c r="A55" s="47" t="s">
        <v>385</v>
      </c>
      <c r="B55" t="s">
        <v>385</v>
      </c>
    </row>
    <row r="56" spans="1:2">
      <c r="A56" s="47" t="s">
        <v>386</v>
      </c>
      <c r="B56" t="s">
        <v>386</v>
      </c>
    </row>
    <row r="57" spans="1:2">
      <c r="A57" s="47" t="s">
        <v>387</v>
      </c>
      <c r="B57" t="s">
        <v>387</v>
      </c>
    </row>
    <row r="58" spans="1:2">
      <c r="A58" s="47" t="s">
        <v>388</v>
      </c>
      <c r="B58" t="s">
        <v>389</v>
      </c>
    </row>
    <row r="59" spans="1:2">
      <c r="A59" s="47" t="s">
        <v>390</v>
      </c>
      <c r="B59" t="s">
        <v>128</v>
      </c>
    </row>
    <row r="60" spans="1:2">
      <c r="A60" s="47" t="s">
        <v>391</v>
      </c>
      <c r="B60" t="s">
        <v>392</v>
      </c>
    </row>
    <row r="61" spans="1:2">
      <c r="A61" s="47" t="s">
        <v>393</v>
      </c>
      <c r="B61" t="s">
        <v>394</v>
      </c>
    </row>
    <row r="62" spans="1:2">
      <c r="A62" s="47" t="s">
        <v>395</v>
      </c>
      <c r="B62" t="s">
        <v>396</v>
      </c>
    </row>
    <row r="63" spans="1:2">
      <c r="A63" s="47" t="s">
        <v>397</v>
      </c>
      <c r="B63" t="s">
        <v>398</v>
      </c>
    </row>
    <row r="64" spans="1:2">
      <c r="A64" s="47" t="s">
        <v>399</v>
      </c>
      <c r="B64" t="s">
        <v>400</v>
      </c>
    </row>
    <row r="65" spans="1:2">
      <c r="A65" s="47" t="s">
        <v>401</v>
      </c>
      <c r="B65" s="47"/>
    </row>
    <row r="66" spans="1:2">
      <c r="A66" s="47" t="s">
        <v>402</v>
      </c>
      <c r="B66" s="47"/>
    </row>
    <row r="67" spans="1:2">
      <c r="A67" s="47" t="s">
        <v>403</v>
      </c>
      <c r="B67" t="s">
        <v>404</v>
      </c>
    </row>
    <row r="68" spans="1:2">
      <c r="A68" s="47" t="s">
        <v>405</v>
      </c>
      <c r="B68" s="47"/>
    </row>
    <row r="69" spans="1:2">
      <c r="A69" s="47" t="s">
        <v>406</v>
      </c>
      <c r="B69" t="s">
        <v>406</v>
      </c>
    </row>
    <row r="70" spans="1:2">
      <c r="A70" s="47" t="s">
        <v>407</v>
      </c>
      <c r="B70" t="s">
        <v>408</v>
      </c>
    </row>
    <row r="71" spans="1:2">
      <c r="A71" s="47" t="s">
        <v>409</v>
      </c>
      <c r="B71" s="47"/>
    </row>
    <row r="72" spans="1:2">
      <c r="A72" s="47" t="s">
        <v>410</v>
      </c>
      <c r="B72" s="47"/>
    </row>
    <row r="73" spans="1:2">
      <c r="A73" s="47" t="s">
        <v>411</v>
      </c>
      <c r="B73" t="s">
        <v>123</v>
      </c>
    </row>
    <row r="74" spans="1:2">
      <c r="A74" s="47" t="s">
        <v>412</v>
      </c>
      <c r="B74" t="s">
        <v>412</v>
      </c>
    </row>
    <row r="75" spans="1:2">
      <c r="A75" s="47" t="s">
        <v>413</v>
      </c>
      <c r="B75" t="s">
        <v>413</v>
      </c>
    </row>
    <row r="76" spans="1:2">
      <c r="A76" s="47" t="s">
        <v>414</v>
      </c>
      <c r="B76" s="47"/>
    </row>
    <row r="77" spans="1:2">
      <c r="A77" s="47" t="s">
        <v>129</v>
      </c>
      <c r="B77" t="s">
        <v>129</v>
      </c>
    </row>
    <row r="78" spans="1:2">
      <c r="A78" s="47"/>
      <c r="B78" s="47"/>
    </row>
    <row r="79" spans="1:2">
      <c r="A79" s="47"/>
      <c r="B79" s="47"/>
    </row>
    <row r="80" spans="1:2">
      <c r="A80" s="47"/>
      <c r="B80" s="47"/>
    </row>
    <row r="81" spans="1:2">
      <c r="A81" s="47"/>
      <c r="B81" s="47"/>
    </row>
    <row r="82" spans="1:2">
      <c r="A82" s="47"/>
      <c r="B82" s="47"/>
    </row>
    <row r="83" spans="1:2">
      <c r="A83" s="47"/>
      <c r="B83" s="47"/>
    </row>
    <row r="84" spans="1:2">
      <c r="A84" s="47"/>
      <c r="B84" s="47"/>
    </row>
    <row r="85" spans="1:2">
      <c r="A85" s="47"/>
      <c r="B85" s="47"/>
    </row>
    <row r="86" spans="1:2">
      <c r="A86" s="47"/>
      <c r="B86" s="47"/>
    </row>
    <row r="87" spans="1:2">
      <c r="A87" s="47"/>
      <c r="B87" s="47"/>
    </row>
    <row r="88" spans="1:2">
      <c r="A88" s="47"/>
      <c r="B88" s="47"/>
    </row>
    <row r="89" spans="1:2">
      <c r="A89" s="47"/>
      <c r="B89" s="47"/>
    </row>
    <row r="90" spans="1:2">
      <c r="A90" s="47"/>
      <c r="B90" s="47"/>
    </row>
    <row r="91" spans="1:2">
      <c r="A91" s="47"/>
      <c r="B91" s="47"/>
    </row>
    <row r="92" spans="1:2">
      <c r="A92" s="47"/>
      <c r="B92" s="47"/>
    </row>
    <row r="93" spans="1:2">
      <c r="A93" s="47"/>
      <c r="B93" s="47"/>
    </row>
    <row r="94" spans="1:2">
      <c r="A94" s="47"/>
      <c r="B94" s="47"/>
    </row>
    <row r="95" spans="1:2">
      <c r="A95" s="47"/>
      <c r="B95" s="47"/>
    </row>
    <row r="96" spans="1:2">
      <c r="A96" s="47"/>
      <c r="B96" s="47"/>
    </row>
    <row r="97" spans="1:2">
      <c r="A97" s="47"/>
      <c r="B97" s="47"/>
    </row>
    <row r="98" spans="1:2">
      <c r="A98" s="47"/>
      <c r="B98" s="47"/>
    </row>
    <row r="99" spans="1:2">
      <c r="A99" s="47"/>
      <c r="B99" s="47"/>
    </row>
    <row r="100" spans="1:2">
      <c r="A100" s="47"/>
      <c r="B100" s="47"/>
    </row>
    <row r="101" spans="1:2">
      <c r="A101" s="47"/>
      <c r="B101" s="47"/>
    </row>
    <row r="102" spans="1:2">
      <c r="A102" s="47"/>
      <c r="B102" s="47"/>
    </row>
    <row r="103" spans="1:2">
      <c r="A103" s="47"/>
      <c r="B103" s="47"/>
    </row>
    <row r="104" spans="1:2">
      <c r="A104" s="47"/>
      <c r="B104" s="47"/>
    </row>
    <row r="105" spans="1:2">
      <c r="A105" s="47"/>
      <c r="B105" s="47"/>
    </row>
    <row r="106" spans="1:2">
      <c r="A106" s="47"/>
      <c r="B106" s="47"/>
    </row>
    <row r="107" spans="1:2">
      <c r="A107" s="47"/>
      <c r="B107" s="47"/>
    </row>
    <row r="108" spans="1:2">
      <c r="A108" s="47"/>
      <c r="B108" s="47"/>
    </row>
    <row r="109" spans="1:2">
      <c r="A109" s="47"/>
      <c r="B109" s="47"/>
    </row>
    <row r="110" spans="1:2">
      <c r="A110" s="47"/>
      <c r="B110" s="47"/>
    </row>
    <row r="111" spans="1:2">
      <c r="A111" s="47"/>
      <c r="B111" s="47"/>
    </row>
    <row r="112" spans="1:2">
      <c r="A112" s="47"/>
      <c r="B112" s="47"/>
    </row>
    <row r="113" spans="1:2">
      <c r="A113" s="47"/>
      <c r="B113" s="47"/>
    </row>
    <row r="114" spans="1:2">
      <c r="A114" s="47"/>
      <c r="B114" s="47"/>
    </row>
    <row r="115" spans="1:2">
      <c r="A115" s="47"/>
      <c r="B115" s="47"/>
    </row>
    <row r="116" spans="1:2">
      <c r="A116" s="47"/>
      <c r="B116" s="47"/>
    </row>
    <row r="117" spans="1:2">
      <c r="A117" s="47"/>
      <c r="B117" s="47"/>
    </row>
    <row r="118" spans="1:2">
      <c r="A118" s="47"/>
      <c r="B118" s="47"/>
    </row>
    <row r="119" spans="1:2">
      <c r="A119" s="47"/>
      <c r="B119" s="47"/>
    </row>
    <row r="120" spans="1:2">
      <c r="A120" s="47"/>
      <c r="B120" s="47"/>
    </row>
    <row r="121" spans="1:2">
      <c r="A121" s="47"/>
      <c r="B121" s="47"/>
    </row>
    <row r="122" spans="1:2">
      <c r="A122" s="47"/>
      <c r="B122" s="47"/>
    </row>
    <row r="123" spans="1:2">
      <c r="A123" s="47"/>
      <c r="B123" s="47"/>
    </row>
    <row r="124" spans="1:2">
      <c r="A124" s="47"/>
      <c r="B124" s="47"/>
    </row>
    <row r="125" spans="1:2">
      <c r="A125" s="47"/>
      <c r="B125" s="47"/>
    </row>
    <row r="126" spans="1:2">
      <c r="A126" s="47"/>
      <c r="B126" s="47"/>
    </row>
    <row r="127" spans="1:2">
      <c r="A127" s="47"/>
      <c r="B127" s="47"/>
    </row>
    <row r="128" spans="1:2">
      <c r="A128" s="47"/>
      <c r="B128" s="47"/>
    </row>
    <row r="129" spans="1:2">
      <c r="A129" s="47"/>
      <c r="B129" s="47"/>
    </row>
    <row r="130" spans="1:2">
      <c r="A130" s="47"/>
      <c r="B130" s="47"/>
    </row>
    <row r="131" spans="1:2">
      <c r="A131" s="47"/>
      <c r="B131" s="47"/>
    </row>
    <row r="132" spans="1:2">
      <c r="A132" s="47"/>
      <c r="B132" s="47"/>
    </row>
    <row r="133" spans="1:2">
      <c r="A133" s="47"/>
      <c r="B133" s="47"/>
    </row>
    <row r="134" spans="1:2">
      <c r="A134" s="47"/>
      <c r="B134" s="47"/>
    </row>
    <row r="135" spans="1:2">
      <c r="A135" s="47"/>
      <c r="B135" s="47"/>
    </row>
    <row r="136" spans="1:2">
      <c r="A136" s="47"/>
      <c r="B136" s="47"/>
    </row>
    <row r="137" spans="1:2">
      <c r="A137" s="47"/>
      <c r="B137" s="47"/>
    </row>
    <row r="138" spans="1:2">
      <c r="A138" s="47"/>
      <c r="B138" s="47"/>
    </row>
    <row r="139" spans="1:2">
      <c r="A139" s="47"/>
      <c r="B139" s="47"/>
    </row>
    <row r="140" spans="1:2">
      <c r="A140" s="47"/>
      <c r="B140" s="47"/>
    </row>
    <row r="141" spans="1:2">
      <c r="A141" s="47"/>
      <c r="B141" s="47"/>
    </row>
    <row r="142" spans="1:2">
      <c r="A142" s="47"/>
      <c r="B142" s="47"/>
    </row>
    <row r="143" spans="1:2">
      <c r="A143" s="47"/>
      <c r="B143" s="47"/>
    </row>
    <row r="144" spans="1:2">
      <c r="A144" s="47"/>
      <c r="B144" s="47"/>
    </row>
    <row r="145" spans="1:2">
      <c r="A145" s="47"/>
      <c r="B145" s="47"/>
    </row>
    <row r="146" spans="1:2">
      <c r="A146" s="47"/>
      <c r="B146" s="47"/>
    </row>
    <row r="147" spans="1:2">
      <c r="A147" s="47"/>
      <c r="B147" s="47"/>
    </row>
    <row r="148" spans="1:2">
      <c r="A148" s="47"/>
      <c r="B148" s="47"/>
    </row>
    <row r="149" spans="1:2">
      <c r="A149" s="47"/>
      <c r="B149" s="47"/>
    </row>
    <row r="150" spans="1:2">
      <c r="A150" s="47"/>
      <c r="B150" s="47"/>
    </row>
    <row r="151" spans="1:2">
      <c r="A151" s="47"/>
      <c r="B151" s="47"/>
    </row>
    <row r="152" spans="1:2">
      <c r="A152" s="47"/>
      <c r="B152" s="47"/>
    </row>
    <row r="153" spans="1:2">
      <c r="A153" s="47"/>
      <c r="B153" s="47"/>
    </row>
    <row r="154" spans="1:2">
      <c r="A154" s="47"/>
      <c r="B154" s="47"/>
    </row>
    <row r="155" spans="1:2">
      <c r="A155" s="47"/>
      <c r="B155" s="47"/>
    </row>
    <row r="156" spans="1:2">
      <c r="A156" s="47"/>
      <c r="B156" s="47"/>
    </row>
    <row r="157" spans="1:2">
      <c r="A157" s="47"/>
      <c r="B157" s="47"/>
    </row>
    <row r="158" spans="1:2">
      <c r="A158" s="47"/>
      <c r="B158" s="47"/>
    </row>
    <row r="159" spans="1:2">
      <c r="A159" s="47"/>
      <c r="B159" s="47"/>
    </row>
    <row r="160" spans="1:2">
      <c r="A160" s="47"/>
      <c r="B160" s="47"/>
    </row>
    <row r="161" spans="1:2">
      <c r="A161" s="47"/>
      <c r="B161" s="47"/>
    </row>
    <row r="162" spans="1:2">
      <c r="A162" s="47"/>
      <c r="B162" s="47"/>
    </row>
    <row r="163" spans="1:2">
      <c r="A163" s="47"/>
      <c r="B163" s="47"/>
    </row>
    <row r="164" spans="1:2">
      <c r="A164" s="47"/>
      <c r="B164" s="47"/>
    </row>
    <row r="165" spans="1:2">
      <c r="A165" s="47"/>
      <c r="B165" s="47"/>
    </row>
    <row r="166" spans="1:2">
      <c r="A166" s="47"/>
      <c r="B166" s="47"/>
    </row>
    <row r="167" spans="1:2">
      <c r="A167" s="47"/>
      <c r="B167" s="47"/>
    </row>
    <row r="168" spans="1:2">
      <c r="A168" s="47"/>
      <c r="B168" s="47"/>
    </row>
    <row r="169" spans="1:2">
      <c r="A169" s="47"/>
      <c r="B169" s="47"/>
    </row>
    <row r="170" spans="1:2">
      <c r="A170" s="47"/>
      <c r="B170" s="47"/>
    </row>
    <row r="171" spans="1:2">
      <c r="A171" s="47"/>
      <c r="B171" s="47"/>
    </row>
    <row r="172" spans="1:2">
      <c r="A172" s="47"/>
      <c r="B172" s="47"/>
    </row>
    <row r="173" spans="1:2">
      <c r="A173" s="47"/>
      <c r="B173" s="47"/>
    </row>
    <row r="174" spans="1:2">
      <c r="A174" s="47"/>
      <c r="B174" s="47"/>
    </row>
    <row r="175" spans="1:2">
      <c r="A175" s="47"/>
      <c r="B175" s="47"/>
    </row>
    <row r="176" spans="1:2">
      <c r="A176" s="47"/>
      <c r="B176" s="47"/>
    </row>
    <row r="177" spans="1:2">
      <c r="A177" s="47"/>
      <c r="B177" s="47"/>
    </row>
    <row r="178" spans="1:2">
      <c r="A178" s="47"/>
      <c r="B178" s="47"/>
    </row>
    <row r="179" spans="1:2">
      <c r="A179" s="47"/>
      <c r="B179" s="47"/>
    </row>
    <row r="180" spans="1:2">
      <c r="A180" s="47"/>
      <c r="B180" s="47"/>
    </row>
    <row r="181" spans="1:2">
      <c r="A181" s="47"/>
      <c r="B181" s="47"/>
    </row>
    <row r="182" spans="1:2">
      <c r="A182" s="47"/>
      <c r="B182" s="47"/>
    </row>
    <row r="183" spans="1:2">
      <c r="A183" s="47"/>
      <c r="B183" s="47"/>
    </row>
    <row r="184" spans="1:2">
      <c r="A184" s="47"/>
      <c r="B184" s="47"/>
    </row>
    <row r="185" spans="1:2">
      <c r="A185" s="47"/>
      <c r="B185" s="47"/>
    </row>
    <row r="186" spans="1:2">
      <c r="A186" s="47"/>
      <c r="B186" s="47"/>
    </row>
    <row r="187" spans="1:2">
      <c r="A187" s="47"/>
      <c r="B187" s="47"/>
    </row>
    <row r="188" spans="1:2">
      <c r="A188" s="47"/>
      <c r="B188" s="47"/>
    </row>
    <row r="189" spans="1:2">
      <c r="A189" s="47"/>
      <c r="B189" s="47"/>
    </row>
    <row r="190" spans="1:2">
      <c r="A190" s="47"/>
      <c r="B190" s="47"/>
    </row>
    <row r="191" spans="1:2">
      <c r="A191" s="47"/>
      <c r="B191" s="47"/>
    </row>
    <row r="192" spans="1:2">
      <c r="A192" s="47"/>
      <c r="B192" s="47"/>
    </row>
    <row r="193" spans="1:2">
      <c r="A193" s="47"/>
      <c r="B193" s="47"/>
    </row>
    <row r="194" spans="1:2">
      <c r="A194" s="47"/>
      <c r="B194" s="47"/>
    </row>
    <row r="195" spans="1:2">
      <c r="A195" s="47"/>
      <c r="B195" s="47"/>
    </row>
    <row r="196" spans="1:2">
      <c r="A196" s="47"/>
      <c r="B196" s="47"/>
    </row>
    <row r="197" spans="1:2">
      <c r="A197" s="47"/>
      <c r="B197" s="47"/>
    </row>
    <row r="198" spans="1:2">
      <c r="A198" s="47"/>
      <c r="B198" s="47"/>
    </row>
    <row r="199" spans="1:2">
      <c r="A199" s="47"/>
      <c r="B199" s="47"/>
    </row>
    <row r="200" spans="1:2">
      <c r="A200" s="47"/>
      <c r="B200" s="47"/>
    </row>
    <row r="201" spans="1:2">
      <c r="A201" s="47"/>
      <c r="B201" s="47"/>
    </row>
    <row r="202" spans="1:2">
      <c r="A202" s="47"/>
      <c r="B202" s="47"/>
    </row>
    <row r="203" spans="1:2">
      <c r="A203" s="47"/>
      <c r="B203" s="47"/>
    </row>
    <row r="204" spans="1:2">
      <c r="A204" s="47"/>
      <c r="B204" s="47"/>
    </row>
    <row r="205" spans="1:2">
      <c r="A205" s="47"/>
      <c r="B205" s="47"/>
    </row>
    <row r="206" spans="1:2">
      <c r="A206" s="47"/>
      <c r="B206" s="47"/>
    </row>
    <row r="207" spans="1:2">
      <c r="A207" s="47"/>
      <c r="B207" s="47"/>
    </row>
    <row r="208" spans="1:2">
      <c r="A208" s="47"/>
      <c r="B208" s="47"/>
    </row>
    <row r="209" spans="1:2">
      <c r="A209" s="47"/>
      <c r="B209" s="47"/>
    </row>
    <row r="210" spans="1:2">
      <c r="A210" s="47"/>
      <c r="B210" s="47"/>
    </row>
    <row r="211" spans="1:2">
      <c r="A211" s="47"/>
      <c r="B211" s="47"/>
    </row>
    <row r="212" spans="1:2">
      <c r="A212" s="47"/>
      <c r="B212" s="47"/>
    </row>
    <row r="213" spans="1:2">
      <c r="A213" s="47"/>
      <c r="B213" s="47"/>
    </row>
    <row r="214" spans="1:2">
      <c r="A214" s="47"/>
      <c r="B214" s="47"/>
    </row>
    <row r="215" spans="1:2">
      <c r="A215" s="47"/>
      <c r="B215" s="47"/>
    </row>
    <row r="216" spans="1:2">
      <c r="A216" s="47"/>
      <c r="B216" s="47"/>
    </row>
    <row r="217" spans="1:2">
      <c r="A217" s="47"/>
      <c r="B217" s="47"/>
    </row>
    <row r="218" spans="1:2">
      <c r="A218" s="47"/>
      <c r="B218" s="47"/>
    </row>
    <row r="219" spans="1:2">
      <c r="A219" s="47"/>
      <c r="B219" s="47"/>
    </row>
    <row r="220" spans="1:2">
      <c r="A220" s="47"/>
      <c r="B220" s="47"/>
    </row>
    <row r="221" spans="1:2">
      <c r="A221" s="47"/>
      <c r="B221" s="47"/>
    </row>
    <row r="222" spans="1:2">
      <c r="A222" s="47"/>
      <c r="B222" s="47"/>
    </row>
    <row r="223" spans="1:2">
      <c r="A223" s="47"/>
      <c r="B223" s="47"/>
    </row>
    <row r="224" spans="1:2">
      <c r="A224" s="47"/>
      <c r="B224" s="47"/>
    </row>
    <row r="225" spans="1:2">
      <c r="A225" s="47"/>
      <c r="B225" s="47"/>
    </row>
    <row r="226" spans="1:2">
      <c r="A226" s="47"/>
      <c r="B226" s="47"/>
    </row>
    <row r="227" spans="1:2">
      <c r="A227" s="47"/>
      <c r="B227" s="47"/>
    </row>
    <row r="228" spans="1:2">
      <c r="A228" s="47"/>
      <c r="B228" s="47"/>
    </row>
    <row r="229" spans="1:2">
      <c r="A229" s="47"/>
      <c r="B229" s="47"/>
    </row>
    <row r="230" spans="1:2">
      <c r="A230" s="47"/>
      <c r="B230" s="47"/>
    </row>
    <row r="231" spans="1:2">
      <c r="A231" s="47"/>
      <c r="B231" s="47"/>
    </row>
    <row r="232" spans="1:2">
      <c r="A232" s="47"/>
      <c r="B232" s="47"/>
    </row>
    <row r="233" spans="1:2">
      <c r="A233" s="47"/>
      <c r="B233" s="47"/>
    </row>
    <row r="234" spans="1:2">
      <c r="A234" s="47"/>
      <c r="B234" s="47"/>
    </row>
    <row r="235" spans="1:2">
      <c r="A235" s="47"/>
      <c r="B235" s="47"/>
    </row>
    <row r="236" spans="1:2">
      <c r="A236" s="47"/>
      <c r="B236" s="47"/>
    </row>
    <row r="237" spans="1:2">
      <c r="A237" s="47"/>
      <c r="B237" s="47"/>
    </row>
    <row r="238" spans="1:2">
      <c r="A238" s="47"/>
      <c r="B238" s="47"/>
    </row>
    <row r="239" spans="1:2">
      <c r="A239" s="47"/>
      <c r="B239" s="47"/>
    </row>
    <row r="240" spans="1:2">
      <c r="A240" s="47"/>
      <c r="B240" s="47"/>
    </row>
    <row r="241" spans="1:2">
      <c r="A241" s="47"/>
      <c r="B241" s="47"/>
    </row>
    <row r="242" spans="1:2">
      <c r="A242" s="47"/>
      <c r="B242" s="47"/>
    </row>
    <row r="243" spans="1:2">
      <c r="A243" s="47"/>
      <c r="B243" s="47"/>
    </row>
    <row r="244" spans="1:2">
      <c r="A244" s="47"/>
      <c r="B244" s="47"/>
    </row>
    <row r="245" spans="1:2">
      <c r="A245" s="47"/>
      <c r="B245" s="47"/>
    </row>
    <row r="246" spans="1:2">
      <c r="A246" s="47"/>
      <c r="B246" s="47"/>
    </row>
    <row r="247" spans="1:2">
      <c r="A247" s="47"/>
      <c r="B247" s="47"/>
    </row>
    <row r="248" spans="1:2">
      <c r="A248" s="47"/>
      <c r="B248" s="47"/>
    </row>
    <row r="249" spans="1:2">
      <c r="A249" s="47"/>
      <c r="B249" s="47"/>
    </row>
    <row r="250" spans="1:2">
      <c r="A250" s="47"/>
      <c r="B250" s="47"/>
    </row>
    <row r="251" spans="1:2">
      <c r="A251" s="47"/>
      <c r="B251" s="47"/>
    </row>
    <row r="252" spans="1:2">
      <c r="A252" s="47"/>
      <c r="B252" s="47"/>
    </row>
    <row r="253" spans="1:2">
      <c r="A253" s="47"/>
      <c r="B253" s="47"/>
    </row>
    <row r="254" spans="1:2">
      <c r="A254" s="47"/>
      <c r="B254" s="47"/>
    </row>
    <row r="255" spans="1:2">
      <c r="A255" s="47"/>
      <c r="B255" s="47"/>
    </row>
    <row r="256" spans="1:2">
      <c r="A256" s="47"/>
      <c r="B256" s="47"/>
    </row>
    <row r="257" spans="1:2">
      <c r="A257" s="47"/>
      <c r="B257" s="47"/>
    </row>
    <row r="258" spans="1:2">
      <c r="A258" s="47"/>
      <c r="B258" s="47"/>
    </row>
    <row r="259" spans="1:2">
      <c r="A259" s="47"/>
      <c r="B259" s="47"/>
    </row>
    <row r="260" spans="1:2">
      <c r="A260" s="47"/>
      <c r="B260" s="47"/>
    </row>
    <row r="261" spans="1:2">
      <c r="A261" s="47"/>
      <c r="B261" s="47"/>
    </row>
    <row r="262" spans="1:2">
      <c r="A262" s="47"/>
      <c r="B262" s="47"/>
    </row>
    <row r="263" spans="1:2">
      <c r="A263" s="47"/>
      <c r="B263" s="47"/>
    </row>
    <row r="264" spans="1:2">
      <c r="A264" s="47"/>
      <c r="B264" s="47"/>
    </row>
    <row r="265" spans="1:2">
      <c r="A265" s="47"/>
      <c r="B265" s="47"/>
    </row>
    <row r="266" spans="1:2">
      <c r="A266" s="47"/>
      <c r="B266" s="47"/>
    </row>
    <row r="267" spans="1:2">
      <c r="A267" s="47"/>
      <c r="B267" s="47"/>
    </row>
    <row r="268" spans="1:2">
      <c r="A268" s="47"/>
      <c r="B268" s="47"/>
    </row>
    <row r="269" spans="1:2">
      <c r="A269" s="47"/>
      <c r="B269" s="47"/>
    </row>
    <row r="270" spans="1:2">
      <c r="A270" s="47"/>
      <c r="B270" s="47"/>
    </row>
    <row r="271" spans="1:2">
      <c r="A271" s="47"/>
      <c r="B271" s="47"/>
    </row>
    <row r="272" spans="1:2">
      <c r="A272" s="47"/>
      <c r="B272" s="47"/>
    </row>
    <row r="273" spans="1:2">
      <c r="A273" s="47"/>
      <c r="B273" s="47"/>
    </row>
    <row r="274" spans="1:2">
      <c r="A274" s="47"/>
      <c r="B274" s="47"/>
    </row>
    <row r="275" spans="1:2">
      <c r="A275" s="47"/>
      <c r="B275" s="47"/>
    </row>
    <row r="276" spans="1:2">
      <c r="A276" s="47"/>
      <c r="B276" s="47"/>
    </row>
    <row r="277" spans="1:2">
      <c r="A277" s="47"/>
      <c r="B277" s="47"/>
    </row>
    <row r="278" spans="1:2">
      <c r="A278" s="47"/>
      <c r="B278" s="47"/>
    </row>
    <row r="279" spans="1:2">
      <c r="A279" s="47"/>
      <c r="B279" s="47"/>
    </row>
    <row r="280" spans="1:2">
      <c r="A280" s="47"/>
      <c r="B280" s="47"/>
    </row>
    <row r="281" spans="1:2">
      <c r="A281" s="47"/>
      <c r="B281" s="47"/>
    </row>
    <row r="282" spans="1:2">
      <c r="A282" s="47"/>
      <c r="B282" s="47"/>
    </row>
    <row r="283" spans="1:2">
      <c r="A283" s="47"/>
      <c r="B283" s="47"/>
    </row>
    <row r="284" spans="1:2">
      <c r="A284" s="47"/>
      <c r="B284" s="47"/>
    </row>
    <row r="285" spans="1:2">
      <c r="A285" s="47"/>
      <c r="B285" s="47"/>
    </row>
    <row r="286" spans="1:2">
      <c r="A286" s="47"/>
      <c r="B286" s="47"/>
    </row>
    <row r="287" spans="1:2">
      <c r="A287" s="47"/>
      <c r="B287" s="47"/>
    </row>
    <row r="288" spans="1:2">
      <c r="A288" s="47"/>
      <c r="B288" s="47"/>
    </row>
    <row r="289" spans="1:2">
      <c r="A289" s="47"/>
      <c r="B289" s="47"/>
    </row>
    <row r="290" spans="1:2">
      <c r="A290" s="47"/>
      <c r="B290" s="47"/>
    </row>
    <row r="291" spans="1:2">
      <c r="A291" s="47"/>
      <c r="B291" s="47"/>
    </row>
    <row r="292" spans="1:2">
      <c r="A292" s="47"/>
      <c r="B292" s="47"/>
    </row>
    <row r="293" spans="1:2">
      <c r="A293" s="47"/>
      <c r="B293" s="47"/>
    </row>
    <row r="294" spans="1:2">
      <c r="A294" s="47"/>
      <c r="B294" s="47"/>
    </row>
    <row r="295" spans="1:2">
      <c r="A295" s="47"/>
      <c r="B295" s="47"/>
    </row>
    <row r="296" spans="1:2">
      <c r="A296" s="47"/>
      <c r="B296" s="47"/>
    </row>
    <row r="297" spans="1:2">
      <c r="A297" s="47"/>
      <c r="B297" s="47"/>
    </row>
    <row r="298" spans="1:2">
      <c r="A298" s="47"/>
      <c r="B298" s="47"/>
    </row>
    <row r="299" spans="1:2">
      <c r="A299" s="47"/>
      <c r="B299" s="47"/>
    </row>
    <row r="300" spans="1:2">
      <c r="A300" s="47"/>
      <c r="B300" s="47"/>
    </row>
    <row r="301" spans="1:2">
      <c r="A301" s="47"/>
      <c r="B301" s="47"/>
    </row>
    <row r="302" spans="1:2">
      <c r="A302" s="47"/>
      <c r="B302" s="47"/>
    </row>
    <row r="303" spans="1:2">
      <c r="A303" s="47"/>
      <c r="B303" s="47"/>
    </row>
    <row r="304" spans="1:2">
      <c r="A304" s="47"/>
      <c r="B304" s="47"/>
    </row>
    <row r="305" spans="1:2">
      <c r="A305" s="47"/>
      <c r="B305" s="47"/>
    </row>
    <row r="306" spans="1:2">
      <c r="A306" s="47"/>
      <c r="B306" s="47"/>
    </row>
    <row r="307" spans="1:2">
      <c r="A307" s="47"/>
      <c r="B307" s="47"/>
    </row>
    <row r="308" spans="1:2">
      <c r="A308" s="47"/>
      <c r="B308" s="47"/>
    </row>
    <row r="309" spans="1:2">
      <c r="A309" s="47"/>
      <c r="B309" s="47"/>
    </row>
    <row r="310" spans="1:2">
      <c r="A310" s="47"/>
      <c r="B310" s="47"/>
    </row>
    <row r="311" spans="1:2">
      <c r="A311" s="47"/>
      <c r="B311" s="47"/>
    </row>
    <row r="312" spans="1:2">
      <c r="A312" s="47"/>
      <c r="B312" s="47"/>
    </row>
    <row r="313" spans="1:2">
      <c r="A313" s="47"/>
      <c r="B313" s="47"/>
    </row>
    <row r="314" spans="1:2">
      <c r="A314" s="47"/>
      <c r="B314" s="47"/>
    </row>
    <row r="315" spans="1:2">
      <c r="A315" s="47"/>
      <c r="B315" s="47"/>
    </row>
    <row r="316" spans="1:2">
      <c r="A316" s="47"/>
      <c r="B316" s="47"/>
    </row>
    <row r="317" spans="1:2">
      <c r="A317" s="47"/>
      <c r="B317" s="47"/>
    </row>
    <row r="318" spans="1:2">
      <c r="A318" s="47"/>
      <c r="B318" s="47"/>
    </row>
    <row r="319" spans="1:2">
      <c r="A319" s="47"/>
      <c r="B319" s="47"/>
    </row>
    <row r="320" spans="1:2">
      <c r="A320" s="47"/>
      <c r="B320" s="47"/>
    </row>
    <row r="321" spans="1:2">
      <c r="A321" s="47"/>
      <c r="B321" s="47"/>
    </row>
    <row r="322" spans="1:2">
      <c r="A322" s="47"/>
      <c r="B322" s="47"/>
    </row>
    <row r="323" spans="1:2">
      <c r="A323" s="47"/>
      <c r="B323" s="47"/>
    </row>
    <row r="324" spans="1:2">
      <c r="A324" s="47"/>
      <c r="B324" s="47"/>
    </row>
    <row r="325" spans="1:2">
      <c r="A325" s="47"/>
      <c r="B325" s="47"/>
    </row>
    <row r="326" spans="1:2">
      <c r="A326" s="47"/>
      <c r="B326" s="47"/>
    </row>
    <row r="327" spans="1:2">
      <c r="A327" s="47"/>
      <c r="B327" s="47"/>
    </row>
    <row r="328" spans="1:2">
      <c r="A328" s="47"/>
      <c r="B328" s="47"/>
    </row>
    <row r="329" spans="1:2">
      <c r="A329" s="47"/>
      <c r="B329" s="47"/>
    </row>
    <row r="330" spans="1:2">
      <c r="A330" s="47"/>
      <c r="B330" s="47"/>
    </row>
    <row r="331" spans="1:2">
      <c r="A331" s="47"/>
      <c r="B331" s="47"/>
    </row>
    <row r="332" spans="1:2">
      <c r="A332" s="47"/>
      <c r="B332" s="47"/>
    </row>
    <row r="333" spans="1:2">
      <c r="A333" s="47"/>
      <c r="B333" s="47"/>
    </row>
    <row r="334" spans="1:2">
      <c r="A334" s="47"/>
      <c r="B334" s="47"/>
    </row>
    <row r="335" spans="1:2">
      <c r="A335" s="47"/>
      <c r="B335" s="47"/>
    </row>
    <row r="336" spans="1:2">
      <c r="A336" s="47"/>
      <c r="B336" s="47"/>
    </row>
    <row r="337" spans="1:2">
      <c r="A337" s="47"/>
      <c r="B337" s="47"/>
    </row>
    <row r="338" spans="1:2">
      <c r="A338" s="47"/>
      <c r="B338" s="47"/>
    </row>
    <row r="339" spans="1:2">
      <c r="A339" s="47"/>
      <c r="B339" s="47"/>
    </row>
    <row r="340" spans="1:2">
      <c r="A340" s="47"/>
      <c r="B340" s="47"/>
    </row>
    <row r="341" spans="1:2">
      <c r="A341" s="47"/>
      <c r="B341" s="47"/>
    </row>
    <row r="342" spans="1:2">
      <c r="A342" s="47"/>
      <c r="B342" s="47"/>
    </row>
    <row r="343" spans="1:2">
      <c r="A343" s="47"/>
      <c r="B343" s="47"/>
    </row>
    <row r="344" spans="1:2">
      <c r="A344" s="47"/>
      <c r="B344" s="47"/>
    </row>
    <row r="345" spans="1:2">
      <c r="A345" s="47"/>
      <c r="B345" s="47"/>
    </row>
    <row r="346" spans="1:2">
      <c r="A346" s="47"/>
      <c r="B346" s="47"/>
    </row>
    <row r="347" spans="1:2">
      <c r="A347" s="47"/>
      <c r="B347" s="47"/>
    </row>
    <row r="348" spans="1:2">
      <c r="A348" s="47"/>
      <c r="B348" s="47"/>
    </row>
    <row r="349" spans="1:2">
      <c r="A349" s="47"/>
      <c r="B349" s="47"/>
    </row>
    <row r="350" spans="1:2">
      <c r="A350" s="47"/>
      <c r="B350" s="47"/>
    </row>
    <row r="351" spans="1:2">
      <c r="A351" s="47"/>
      <c r="B351" s="47"/>
    </row>
    <row r="352" spans="1:2">
      <c r="A352" s="47"/>
      <c r="B352" s="47"/>
    </row>
    <row r="353" spans="1:2">
      <c r="A353" s="47"/>
      <c r="B353" s="47"/>
    </row>
    <row r="354" spans="1:2">
      <c r="A354" s="47"/>
      <c r="B354" s="47"/>
    </row>
    <row r="355" spans="1:2">
      <c r="A355" s="47"/>
      <c r="B355" s="47"/>
    </row>
    <row r="356" spans="1:2">
      <c r="A356" s="47"/>
      <c r="B356" s="47"/>
    </row>
    <row r="357" spans="1:2">
      <c r="A357" s="47"/>
      <c r="B357" s="47"/>
    </row>
    <row r="358" spans="1:2">
      <c r="A358" s="47"/>
      <c r="B358" s="47"/>
    </row>
    <row r="359" spans="1:2">
      <c r="A359" s="47"/>
      <c r="B359" s="47"/>
    </row>
    <row r="360" spans="1:2">
      <c r="A360" s="47"/>
      <c r="B360" s="47"/>
    </row>
    <row r="361" spans="1:2">
      <c r="A361" s="47"/>
      <c r="B361" s="47"/>
    </row>
    <row r="362" spans="1:2">
      <c r="A362" s="47"/>
      <c r="B362" s="47"/>
    </row>
    <row r="363" spans="1:2">
      <c r="A363" s="47"/>
      <c r="B363" s="47"/>
    </row>
    <row r="364" spans="1:2">
      <c r="A364" s="47"/>
      <c r="B364" s="47"/>
    </row>
    <row r="365" spans="1:2">
      <c r="A365" s="47"/>
      <c r="B365" s="47"/>
    </row>
    <row r="366" spans="1:2">
      <c r="A366" s="47"/>
      <c r="B366" s="47"/>
    </row>
    <row r="367" spans="1:2">
      <c r="A367" s="47"/>
      <c r="B367" s="47"/>
    </row>
    <row r="368" spans="1:2">
      <c r="A368" s="47"/>
      <c r="B368" s="47"/>
    </row>
    <row r="369" spans="1:2">
      <c r="A369" s="47"/>
      <c r="B369" s="47"/>
    </row>
    <row r="370" spans="1:2">
      <c r="A370" s="47"/>
      <c r="B370" s="47"/>
    </row>
    <row r="371" spans="1:2">
      <c r="A371" s="47"/>
      <c r="B371" s="47"/>
    </row>
    <row r="372" spans="1:2">
      <c r="A372" s="47"/>
      <c r="B372" s="47"/>
    </row>
    <row r="373" spans="1:2">
      <c r="A373" s="47"/>
      <c r="B373" s="47"/>
    </row>
    <row r="374" spans="1:2">
      <c r="A374" s="47"/>
      <c r="B374" s="47"/>
    </row>
    <row r="375" spans="1:2">
      <c r="A375" s="47"/>
      <c r="B375" s="47"/>
    </row>
    <row r="376" spans="1:2">
      <c r="A376" s="47"/>
      <c r="B376" s="47"/>
    </row>
    <row r="377" spans="1:2">
      <c r="A377" s="47"/>
      <c r="B377" s="47"/>
    </row>
    <row r="378" spans="1:2">
      <c r="A378" s="47"/>
      <c r="B378" s="47"/>
    </row>
    <row r="379" spans="1:2">
      <c r="A379" s="47"/>
      <c r="B379" s="47"/>
    </row>
    <row r="380" spans="1:2">
      <c r="A380" s="47"/>
      <c r="B380" s="47"/>
    </row>
    <row r="381" spans="1:2">
      <c r="A381" s="47"/>
      <c r="B381" s="47"/>
    </row>
    <row r="382" spans="1:2">
      <c r="A382" s="47"/>
      <c r="B382" s="47"/>
    </row>
    <row r="383" spans="1:2">
      <c r="A383" s="47"/>
      <c r="B383" s="47"/>
    </row>
    <row r="384" spans="1:2">
      <c r="A384" s="47"/>
      <c r="B384" s="47"/>
    </row>
    <row r="385" spans="1:2">
      <c r="A385" s="47"/>
      <c r="B385" s="47"/>
    </row>
    <row r="386" spans="1:2">
      <c r="A386" s="47"/>
      <c r="B386" s="47"/>
    </row>
    <row r="387" spans="1:2">
      <c r="A387" s="47"/>
      <c r="B387" s="47"/>
    </row>
    <row r="388" spans="1:2">
      <c r="A388" s="47"/>
      <c r="B388" s="47"/>
    </row>
    <row r="389" spans="1:2">
      <c r="A389" s="47"/>
      <c r="B389" s="47"/>
    </row>
    <row r="390" spans="1:2">
      <c r="A390" s="47"/>
      <c r="B390" s="47"/>
    </row>
    <row r="391" spans="1:2">
      <c r="A391" s="47"/>
      <c r="B391" s="47"/>
    </row>
    <row r="392" spans="1:2">
      <c r="A392" s="47"/>
      <c r="B392" s="47"/>
    </row>
    <row r="393" spans="1:2">
      <c r="A393" s="47"/>
      <c r="B393" s="47"/>
    </row>
    <row r="394" spans="1:2">
      <c r="A394" s="47"/>
      <c r="B394" s="47"/>
    </row>
    <row r="395" spans="1:2">
      <c r="A395" s="47"/>
      <c r="B395" s="47"/>
    </row>
    <row r="396" spans="1:2">
      <c r="A396" s="47"/>
      <c r="B396" s="47"/>
    </row>
    <row r="397" spans="1:2">
      <c r="A397" s="47"/>
      <c r="B397" s="47"/>
    </row>
    <row r="398" spans="1:2">
      <c r="A398" s="47"/>
      <c r="B398" s="47"/>
    </row>
    <row r="399" spans="1:2">
      <c r="A399" s="47"/>
      <c r="B399" s="47"/>
    </row>
    <row r="400" spans="1:2">
      <c r="A400" s="47"/>
      <c r="B400" s="47"/>
    </row>
    <row r="401" spans="1:2">
      <c r="A401" s="47"/>
      <c r="B401" s="47"/>
    </row>
    <row r="402" spans="1:2">
      <c r="A402" s="47"/>
      <c r="B402" s="47"/>
    </row>
    <row r="403" spans="1:2">
      <c r="A403" s="47"/>
      <c r="B403" s="47"/>
    </row>
    <row r="404" spans="1:2">
      <c r="A404" s="47"/>
      <c r="B404" s="47"/>
    </row>
    <row r="405" spans="1:2">
      <c r="A405" s="47"/>
      <c r="B405" s="47"/>
    </row>
    <row r="406" spans="1:2">
      <c r="A406" s="47"/>
      <c r="B406" s="47"/>
    </row>
    <row r="407" spans="1:2">
      <c r="A407" s="47"/>
      <c r="B407" s="47"/>
    </row>
    <row r="408" spans="1:2">
      <c r="A408" s="47"/>
      <c r="B408" s="47"/>
    </row>
    <row r="409" spans="1:2">
      <c r="A409" s="47"/>
      <c r="B409" s="47"/>
    </row>
    <row r="410" spans="1:2">
      <c r="A410" s="47"/>
      <c r="B410" s="47"/>
    </row>
    <row r="411" spans="1:2">
      <c r="A411" s="47"/>
      <c r="B411" s="47"/>
    </row>
    <row r="412" spans="1:2">
      <c r="A412" s="47"/>
      <c r="B412" s="47"/>
    </row>
    <row r="413" spans="1:2">
      <c r="A413" s="47"/>
      <c r="B413" s="47"/>
    </row>
    <row r="414" spans="1:2">
      <c r="A414" s="47"/>
      <c r="B414" s="47"/>
    </row>
    <row r="415" spans="1:2">
      <c r="A415" s="47"/>
      <c r="B415" s="47"/>
    </row>
    <row r="416" spans="1:2">
      <c r="A416" s="47"/>
      <c r="B416" s="47"/>
    </row>
    <row r="417" spans="1:2">
      <c r="A417" s="47"/>
      <c r="B417" s="47"/>
    </row>
    <row r="418" spans="1:2">
      <c r="A418" s="47"/>
      <c r="B418" s="47"/>
    </row>
    <row r="419" spans="1:2">
      <c r="A419" s="47"/>
      <c r="B419" s="47"/>
    </row>
    <row r="420" spans="1:2">
      <c r="A420" s="47"/>
      <c r="B420" s="47"/>
    </row>
    <row r="421" spans="1:2">
      <c r="A421" s="47"/>
      <c r="B421" s="47"/>
    </row>
    <row r="422" spans="1:2">
      <c r="A422" s="47"/>
      <c r="B422" s="47"/>
    </row>
    <row r="423" spans="1:2">
      <c r="A423" s="47"/>
      <c r="B423" s="47"/>
    </row>
    <row r="424" spans="1:2">
      <c r="A424" s="47"/>
      <c r="B424" s="47"/>
    </row>
    <row r="425" spans="1:2">
      <c r="A425" s="47"/>
      <c r="B425" s="47"/>
    </row>
    <row r="426" spans="1:2">
      <c r="A426" s="47"/>
      <c r="B426" s="47"/>
    </row>
    <row r="427" spans="1:2">
      <c r="A427" s="47"/>
      <c r="B427" s="47"/>
    </row>
    <row r="428" spans="1:2">
      <c r="A428" s="47"/>
      <c r="B428" s="47"/>
    </row>
    <row r="429" spans="1:2">
      <c r="A429" s="47"/>
      <c r="B429" s="47"/>
    </row>
    <row r="430" spans="1:2">
      <c r="A430" s="47"/>
      <c r="B430" s="47"/>
    </row>
    <row r="431" spans="1:2">
      <c r="A431" s="47"/>
      <c r="B431" s="47"/>
    </row>
    <row r="432" spans="1:2">
      <c r="A432" s="47"/>
      <c r="B432" s="47"/>
    </row>
    <row r="433" spans="1:2">
      <c r="A433" s="47"/>
      <c r="B433" s="47"/>
    </row>
    <row r="434" spans="1:2">
      <c r="A434" s="47"/>
      <c r="B434" s="47"/>
    </row>
    <row r="435" spans="1:2">
      <c r="A435" s="47"/>
      <c r="B435" s="47"/>
    </row>
    <row r="436" spans="1:2">
      <c r="A436" s="47"/>
      <c r="B436" s="47"/>
    </row>
    <row r="437" spans="1:2">
      <c r="A437" s="47"/>
      <c r="B437" s="47"/>
    </row>
    <row r="438" spans="1:2">
      <c r="A438" s="47"/>
      <c r="B438" s="47"/>
    </row>
    <row r="439" spans="1:2">
      <c r="A439" s="47"/>
      <c r="B439" s="47"/>
    </row>
    <row r="440" spans="1:2">
      <c r="A440" s="47"/>
      <c r="B440" s="47"/>
    </row>
    <row r="441" spans="1:2">
      <c r="A441" s="47"/>
      <c r="B441" s="47"/>
    </row>
    <row r="442" spans="1:2">
      <c r="A442" s="47"/>
      <c r="B442" s="47"/>
    </row>
    <row r="443" spans="1:2">
      <c r="A443" s="47"/>
      <c r="B443" s="47"/>
    </row>
    <row r="444" spans="1:2">
      <c r="A444" s="47"/>
      <c r="B444" s="47"/>
    </row>
    <row r="445" spans="1:2">
      <c r="A445" s="47"/>
      <c r="B445" s="47"/>
    </row>
    <row r="446" spans="1:2">
      <c r="A446" s="47"/>
      <c r="B446" s="47"/>
    </row>
    <row r="447" spans="1:2">
      <c r="A447" s="47"/>
      <c r="B447" s="47"/>
    </row>
    <row r="448" spans="1:2">
      <c r="A448" s="47"/>
      <c r="B448" s="47"/>
    </row>
    <row r="449" spans="1:2">
      <c r="A449" s="47"/>
      <c r="B449" s="47"/>
    </row>
    <row r="450" spans="1:2">
      <c r="A450" s="47"/>
      <c r="B450" s="47"/>
    </row>
    <row r="451" spans="1:2">
      <c r="A451" s="47"/>
      <c r="B451" s="47"/>
    </row>
    <row r="452" spans="1:2">
      <c r="A452" s="47"/>
      <c r="B452" s="47"/>
    </row>
    <row r="453" spans="1:2">
      <c r="A453" s="47"/>
      <c r="B453" s="47"/>
    </row>
    <row r="454" spans="1:2">
      <c r="A454" s="47"/>
      <c r="B454" s="47"/>
    </row>
    <row r="455" spans="1:2">
      <c r="A455" s="47"/>
      <c r="B455" s="47"/>
    </row>
    <row r="456" spans="1:2">
      <c r="A456" s="47"/>
      <c r="B456" s="47"/>
    </row>
    <row r="457" spans="1:2">
      <c r="A457" s="47"/>
      <c r="B457" s="47"/>
    </row>
    <row r="458" spans="1:2">
      <c r="A458" s="47"/>
      <c r="B458" s="47"/>
    </row>
    <row r="459" spans="1:2">
      <c r="A459" s="47"/>
      <c r="B459" s="47"/>
    </row>
    <row r="460" spans="1:2">
      <c r="A460" s="47"/>
      <c r="B460" s="47"/>
    </row>
    <row r="461" spans="1:2">
      <c r="A461" s="47"/>
      <c r="B461" s="47"/>
    </row>
    <row r="462" spans="1:2">
      <c r="A462" s="47"/>
      <c r="B462" s="47"/>
    </row>
    <row r="463" spans="1:2">
      <c r="A463" s="47"/>
      <c r="B463" s="47"/>
    </row>
    <row r="464" spans="1:2">
      <c r="A464" s="47"/>
      <c r="B464" s="47"/>
    </row>
    <row r="465" spans="1:2">
      <c r="A465" s="47"/>
      <c r="B465" s="47"/>
    </row>
    <row r="466" spans="1:2">
      <c r="A466" s="47"/>
      <c r="B466" s="47"/>
    </row>
    <row r="467" spans="1:2">
      <c r="A467" s="47"/>
      <c r="B467" s="47"/>
    </row>
    <row r="468" spans="1:2">
      <c r="A468" s="47"/>
      <c r="B468" s="47"/>
    </row>
    <row r="469" spans="1:2">
      <c r="A469" s="47"/>
      <c r="B469" s="47"/>
    </row>
    <row r="470" spans="1:2">
      <c r="A470" s="47"/>
      <c r="B470" s="47"/>
    </row>
    <row r="471" spans="1:2">
      <c r="A471" s="47"/>
      <c r="B471" s="47"/>
    </row>
    <row r="472" spans="1:2">
      <c r="A472" s="47"/>
      <c r="B472" s="47"/>
    </row>
    <row r="473" spans="1:2">
      <c r="A473" s="47"/>
      <c r="B473" s="47"/>
    </row>
    <row r="474" spans="1:2">
      <c r="A474" s="47"/>
      <c r="B474" s="47"/>
    </row>
    <row r="475" spans="1:2">
      <c r="A475" s="47"/>
      <c r="B475" s="47"/>
    </row>
    <row r="476" spans="1:2">
      <c r="A476" s="47"/>
      <c r="B476" s="47"/>
    </row>
    <row r="477" spans="1:2">
      <c r="A477" s="47"/>
      <c r="B477" s="47"/>
    </row>
    <row r="478" spans="1:2">
      <c r="A478" s="47"/>
      <c r="B478" s="47"/>
    </row>
    <row r="479" spans="1:2">
      <c r="A479" s="47"/>
      <c r="B479" s="47"/>
    </row>
    <row r="480" spans="1:2">
      <c r="A480" s="47"/>
      <c r="B480" s="47"/>
    </row>
    <row r="481" spans="1:2">
      <c r="A481" s="47"/>
      <c r="B481" s="47"/>
    </row>
    <row r="482" spans="1:2">
      <c r="A482" s="47"/>
      <c r="B482" s="47"/>
    </row>
    <row r="483" spans="1:2">
      <c r="A483" s="47"/>
      <c r="B483" s="47"/>
    </row>
    <row r="484" spans="1:2">
      <c r="A484" s="47"/>
      <c r="B484" s="47"/>
    </row>
    <row r="485" spans="1:2">
      <c r="A485" s="47"/>
      <c r="B485" s="47"/>
    </row>
    <row r="486" spans="1:2">
      <c r="A486" s="47"/>
      <c r="B486" s="47"/>
    </row>
    <row r="487" spans="1:2">
      <c r="A487" s="47"/>
      <c r="B487" s="47"/>
    </row>
    <row r="488" spans="1:2">
      <c r="A488" s="47"/>
      <c r="B488" s="47"/>
    </row>
    <row r="489" spans="1:2">
      <c r="A489" s="47"/>
      <c r="B489" s="47"/>
    </row>
    <row r="490" spans="1:2">
      <c r="A490" s="47"/>
      <c r="B490" s="47"/>
    </row>
    <row r="491" spans="1:2">
      <c r="A491" s="47"/>
      <c r="B491" s="47"/>
    </row>
    <row r="492" spans="1:2">
      <c r="A492" s="47"/>
      <c r="B492" s="47"/>
    </row>
    <row r="493" spans="1:2">
      <c r="A493" s="47"/>
      <c r="B493" s="47"/>
    </row>
    <row r="494" spans="1:2">
      <c r="A494" s="47"/>
      <c r="B494" s="47"/>
    </row>
    <row r="495" spans="1:2">
      <c r="A495" s="47"/>
      <c r="B495" s="47"/>
    </row>
    <row r="496" spans="1:2">
      <c r="A496" s="47"/>
      <c r="B496" s="47"/>
    </row>
    <row r="497" spans="1:2">
      <c r="A497" s="47"/>
      <c r="B497" s="47"/>
    </row>
    <row r="498" spans="1:2">
      <c r="A498" s="47"/>
      <c r="B498" s="47"/>
    </row>
    <row r="499" spans="1:2">
      <c r="A499" s="47"/>
      <c r="B499" s="47"/>
    </row>
    <row r="500" spans="1:2">
      <c r="A500" s="47"/>
      <c r="B500" s="47"/>
    </row>
    <row r="501" spans="1:2">
      <c r="A501" s="47"/>
      <c r="B501" s="47"/>
    </row>
    <row r="502" spans="1:2">
      <c r="A502" s="47"/>
      <c r="B502" s="47"/>
    </row>
    <row r="503" spans="1:2">
      <c r="A503" s="47"/>
      <c r="B503" s="47"/>
    </row>
    <row r="504" spans="1:2">
      <c r="A504" s="47"/>
      <c r="B504" s="47"/>
    </row>
    <row r="505" spans="1:2">
      <c r="A505" s="47"/>
      <c r="B505" s="47"/>
    </row>
    <row r="506" spans="1:2">
      <c r="A506" s="47"/>
      <c r="B506" s="47"/>
    </row>
    <row r="507" spans="1:2">
      <c r="A507" s="47"/>
      <c r="B507" s="47"/>
    </row>
    <row r="508" spans="1:2">
      <c r="A508" s="47"/>
      <c r="B508" s="47"/>
    </row>
    <row r="509" spans="1:2">
      <c r="A509" s="47"/>
      <c r="B509" s="47"/>
    </row>
    <row r="510" spans="1:2">
      <c r="A510" s="47"/>
      <c r="B510" s="47"/>
    </row>
    <row r="511" spans="1:2">
      <c r="A511" s="47"/>
      <c r="B511" s="47"/>
    </row>
    <row r="512" spans="1:2">
      <c r="A512" s="47"/>
      <c r="B512" s="47"/>
    </row>
    <row r="513" spans="1:2">
      <c r="A513" s="47"/>
      <c r="B513" s="47"/>
    </row>
    <row r="514" spans="1:2">
      <c r="A514" s="47"/>
      <c r="B514" s="47"/>
    </row>
    <row r="515" spans="1:2">
      <c r="A515" s="47"/>
      <c r="B515" s="47"/>
    </row>
    <row r="516" spans="1:2">
      <c r="A516" s="47"/>
      <c r="B516" s="47"/>
    </row>
    <row r="517" spans="1:2">
      <c r="A517" s="47"/>
      <c r="B517" s="47"/>
    </row>
    <row r="518" spans="1:2">
      <c r="A518" s="47"/>
      <c r="B518" s="47"/>
    </row>
    <row r="519" spans="1:2">
      <c r="A519" s="47"/>
      <c r="B519" s="47"/>
    </row>
    <row r="520" spans="1:2">
      <c r="A520" s="47"/>
      <c r="B520" s="47"/>
    </row>
    <row r="521" spans="1:2">
      <c r="A521" s="47"/>
      <c r="B521" s="47"/>
    </row>
    <row r="522" spans="1:2">
      <c r="A522" s="47"/>
      <c r="B522" s="47"/>
    </row>
    <row r="523" spans="1:2">
      <c r="A523" s="47"/>
      <c r="B523" s="47"/>
    </row>
    <row r="524" spans="1:2">
      <c r="A524" s="47"/>
      <c r="B524" s="47"/>
    </row>
    <row r="525" spans="1:2">
      <c r="A525" s="47"/>
      <c r="B525" s="47"/>
    </row>
    <row r="526" spans="1:2">
      <c r="A526" s="47"/>
      <c r="B526" s="47"/>
    </row>
    <row r="527" spans="1:2">
      <c r="A527" s="47"/>
      <c r="B527" s="47"/>
    </row>
    <row r="528" spans="1:2">
      <c r="A528" s="47"/>
      <c r="B528" s="47"/>
    </row>
    <row r="529" spans="1:2">
      <c r="A529" s="47"/>
      <c r="B529" s="47"/>
    </row>
    <row r="530" spans="1:2">
      <c r="A530" s="47"/>
      <c r="B530" s="47"/>
    </row>
    <row r="531" spans="1:2">
      <c r="A531" s="47"/>
      <c r="B531" s="47"/>
    </row>
    <row r="532" spans="1:2">
      <c r="A532" s="47"/>
      <c r="B532" s="47"/>
    </row>
    <row r="533" spans="1:2">
      <c r="A533" s="47"/>
      <c r="B533" s="47"/>
    </row>
    <row r="534" spans="1:2">
      <c r="A534" s="47"/>
      <c r="B534" s="47"/>
    </row>
    <row r="535" spans="1:2">
      <c r="A535" s="47"/>
      <c r="B535" s="47"/>
    </row>
    <row r="536" spans="1:2">
      <c r="A536" s="47"/>
      <c r="B536" s="47"/>
    </row>
    <row r="537" spans="1:2">
      <c r="A537" s="47"/>
      <c r="B537" s="47"/>
    </row>
    <row r="538" spans="1:2">
      <c r="A538" s="47"/>
      <c r="B538" s="47"/>
    </row>
    <row r="539" spans="1:2">
      <c r="A539" s="47"/>
      <c r="B539" s="47"/>
    </row>
    <row r="540" spans="1:2">
      <c r="A540" s="47"/>
      <c r="B540" s="47"/>
    </row>
    <row r="541" spans="1:2">
      <c r="A541" s="47"/>
      <c r="B541" s="47"/>
    </row>
    <row r="542" spans="1:2">
      <c r="A542" s="47"/>
      <c r="B542" s="47"/>
    </row>
    <row r="543" spans="1:2">
      <c r="A543" s="47"/>
      <c r="B543" s="47"/>
    </row>
    <row r="544" spans="1:2">
      <c r="A544" s="47"/>
      <c r="B544" s="47"/>
    </row>
    <row r="545" spans="1:2">
      <c r="A545" s="47"/>
      <c r="B545" s="47"/>
    </row>
    <row r="546" spans="1:2">
      <c r="A546" s="47"/>
      <c r="B546" s="47"/>
    </row>
    <row r="547" spans="1:2">
      <c r="A547" s="47"/>
      <c r="B547" s="47"/>
    </row>
    <row r="548" spans="1:2">
      <c r="A548" s="47"/>
      <c r="B548" s="47"/>
    </row>
    <row r="549" spans="1:2">
      <c r="A549" s="47"/>
      <c r="B549" s="47"/>
    </row>
    <row r="550" spans="1:2">
      <c r="A550" s="47"/>
      <c r="B550" s="47"/>
    </row>
    <row r="551" spans="1:2">
      <c r="A551" s="47"/>
      <c r="B551" s="47"/>
    </row>
    <row r="552" spans="1:2">
      <c r="A552" s="47"/>
      <c r="B552" s="47"/>
    </row>
    <row r="553" spans="1:2">
      <c r="A553" s="47"/>
      <c r="B553" s="47"/>
    </row>
    <row r="554" spans="1:2">
      <c r="A554" s="47"/>
      <c r="B554" s="47"/>
    </row>
    <row r="555" spans="1:2">
      <c r="A555" s="47"/>
      <c r="B555" s="47"/>
    </row>
    <row r="556" spans="1:2">
      <c r="A556" s="47"/>
      <c r="B556" s="47"/>
    </row>
    <row r="557" spans="1:2">
      <c r="A557" s="47"/>
      <c r="B557" s="47"/>
    </row>
    <row r="558" spans="1:2">
      <c r="A558" s="47"/>
      <c r="B558" s="47"/>
    </row>
    <row r="559" spans="1:2">
      <c r="A559" s="47"/>
      <c r="B559" s="47"/>
    </row>
    <row r="560" spans="1:2">
      <c r="A560" s="47"/>
      <c r="B560" s="47"/>
    </row>
    <row r="561" spans="1:2">
      <c r="A561" s="47"/>
      <c r="B561" s="47"/>
    </row>
    <row r="562" spans="1:2">
      <c r="A562" s="47"/>
      <c r="B562" s="47"/>
    </row>
    <row r="563" spans="1:2">
      <c r="A563" s="47"/>
      <c r="B563" s="47"/>
    </row>
    <row r="564" spans="1:2">
      <c r="A564" s="47"/>
      <c r="B564" s="47"/>
    </row>
    <row r="565" spans="1:2">
      <c r="A565" s="47"/>
      <c r="B565" s="47"/>
    </row>
    <row r="566" spans="1:2">
      <c r="A566" s="47"/>
      <c r="B566" s="47"/>
    </row>
    <row r="567" spans="1:2">
      <c r="A567" s="47"/>
      <c r="B567" s="47"/>
    </row>
    <row r="568" spans="1:2">
      <c r="A568" s="47"/>
      <c r="B568" s="47"/>
    </row>
    <row r="569" spans="1:2">
      <c r="A569" s="47"/>
      <c r="B569" s="47"/>
    </row>
    <row r="570" spans="1:2">
      <c r="A570" s="47"/>
      <c r="B570" s="47"/>
    </row>
    <row r="571" spans="1:2">
      <c r="A571" s="47"/>
      <c r="B571" s="47"/>
    </row>
    <row r="572" spans="1:2">
      <c r="A572" s="47"/>
      <c r="B572" s="47"/>
    </row>
    <row r="573" spans="1:2">
      <c r="A573" s="47"/>
      <c r="B573" s="47"/>
    </row>
    <row r="574" spans="1:2">
      <c r="A574" s="47"/>
      <c r="B574" s="47"/>
    </row>
    <row r="575" spans="1:2">
      <c r="A575" s="47"/>
      <c r="B575" s="47"/>
    </row>
    <row r="576" spans="1:2">
      <c r="A576" s="47"/>
      <c r="B576" s="47"/>
    </row>
    <row r="577" spans="1:2">
      <c r="A577" s="47"/>
      <c r="B577" s="47"/>
    </row>
    <row r="578" spans="1:2">
      <c r="A578" s="47"/>
      <c r="B578" s="47"/>
    </row>
    <row r="579" spans="1:2">
      <c r="A579" s="47"/>
      <c r="B579" s="47"/>
    </row>
    <row r="580" spans="1:2">
      <c r="A580" s="47"/>
      <c r="B580" s="47"/>
    </row>
    <row r="581" spans="1:2">
      <c r="A581" s="47"/>
      <c r="B581" s="47"/>
    </row>
    <row r="582" spans="1:2">
      <c r="A582" s="47"/>
      <c r="B582" s="47"/>
    </row>
    <row r="583" spans="1:2">
      <c r="A583" s="47"/>
      <c r="B583" s="47"/>
    </row>
    <row r="584" spans="1:2">
      <c r="A584" s="47"/>
      <c r="B584" s="47"/>
    </row>
    <row r="585" spans="1:2">
      <c r="A585" s="47"/>
      <c r="B585" s="47"/>
    </row>
    <row r="586" spans="1:2">
      <c r="A586" s="47"/>
      <c r="B586" s="47"/>
    </row>
    <row r="587" spans="1:2">
      <c r="A587" s="47"/>
      <c r="B587" s="47"/>
    </row>
    <row r="588" spans="1:2">
      <c r="A588" s="47"/>
      <c r="B588" s="47"/>
    </row>
    <row r="589" spans="1:2">
      <c r="A589" s="47"/>
      <c r="B589" s="47"/>
    </row>
    <row r="590" spans="1:2">
      <c r="A590" s="47"/>
      <c r="B590" s="47"/>
    </row>
    <row r="591" spans="1:2">
      <c r="A591" s="47"/>
      <c r="B591" s="47"/>
    </row>
    <row r="592" spans="1:2">
      <c r="A592" s="47"/>
      <c r="B592" s="47"/>
    </row>
    <row r="593" spans="1:2">
      <c r="A593" s="47"/>
      <c r="B593" s="47"/>
    </row>
    <row r="594" spans="1:2">
      <c r="A594" s="47"/>
      <c r="B594" s="47"/>
    </row>
    <row r="595" spans="1:2">
      <c r="A595" s="47"/>
      <c r="B595" s="47"/>
    </row>
    <row r="596" spans="1:2">
      <c r="A596" s="47"/>
      <c r="B596" s="47"/>
    </row>
    <row r="597" spans="1:2">
      <c r="A597" s="47"/>
      <c r="B597" s="47"/>
    </row>
    <row r="598" spans="1:2">
      <c r="A598" s="47"/>
      <c r="B598" s="47"/>
    </row>
    <row r="599" spans="1:2">
      <c r="A599" s="47"/>
      <c r="B599" s="47"/>
    </row>
    <row r="600" spans="1:2">
      <c r="A600" s="47"/>
      <c r="B600" s="47"/>
    </row>
    <row r="601" spans="1:2">
      <c r="A601" s="47"/>
      <c r="B601" s="47"/>
    </row>
    <row r="602" spans="1:2">
      <c r="A602" s="47"/>
      <c r="B602" s="47"/>
    </row>
    <row r="603" spans="1:2">
      <c r="A603" s="47"/>
      <c r="B603" s="47"/>
    </row>
    <row r="604" spans="1:2">
      <c r="A604" s="47"/>
      <c r="B604" s="47"/>
    </row>
    <row r="605" spans="1:2">
      <c r="A605" s="47"/>
      <c r="B605" s="47"/>
    </row>
    <row r="606" spans="1:2">
      <c r="A606" s="47"/>
      <c r="B606" s="47"/>
    </row>
    <row r="607" spans="1:2">
      <c r="A607" s="47"/>
      <c r="B607" s="47"/>
    </row>
    <row r="608" spans="1:2">
      <c r="A608" s="47"/>
      <c r="B608" s="47"/>
    </row>
    <row r="609" spans="1:2">
      <c r="A609" s="47"/>
      <c r="B609" s="47"/>
    </row>
    <row r="610" spans="1:2">
      <c r="A610" s="47"/>
      <c r="B610" s="47"/>
    </row>
    <row r="611" spans="1:2">
      <c r="A611" s="47"/>
      <c r="B611" s="47"/>
    </row>
    <row r="612" spans="1:2">
      <c r="A612" s="47"/>
      <c r="B612" s="47"/>
    </row>
    <row r="613" spans="1:2">
      <c r="A613" s="47"/>
      <c r="B613" s="47"/>
    </row>
    <row r="614" spans="1:2">
      <c r="A614" s="47"/>
      <c r="B614" s="47"/>
    </row>
    <row r="615" spans="1:2">
      <c r="A615" s="47"/>
      <c r="B615" s="47"/>
    </row>
    <row r="616" spans="1:2">
      <c r="A616" s="47"/>
      <c r="B616" s="47"/>
    </row>
    <row r="617" spans="1:2">
      <c r="A617" s="47"/>
      <c r="B617" s="47"/>
    </row>
    <row r="618" spans="1:2">
      <c r="A618" s="47"/>
      <c r="B618" s="47"/>
    </row>
    <row r="619" spans="1:2">
      <c r="A619" s="47"/>
      <c r="B619" s="47"/>
    </row>
    <row r="620" spans="1:2">
      <c r="A620" s="47"/>
      <c r="B620" s="47"/>
    </row>
    <row r="621" spans="1:2">
      <c r="A621" s="47"/>
      <c r="B621" s="47"/>
    </row>
    <row r="622" spans="1:2">
      <c r="A622" s="47"/>
      <c r="B622" s="47"/>
    </row>
    <row r="623" spans="1:2">
      <c r="A623" s="47"/>
      <c r="B623" s="47"/>
    </row>
    <row r="624" spans="1:2">
      <c r="A624" s="47"/>
      <c r="B624" s="47"/>
    </row>
    <row r="625" spans="1:2">
      <c r="A625" s="47"/>
      <c r="B625" s="47"/>
    </row>
    <row r="626" spans="1:2">
      <c r="A626" s="47"/>
      <c r="B626" s="47"/>
    </row>
    <row r="627" spans="1:2">
      <c r="A627" s="47"/>
      <c r="B627" s="47"/>
    </row>
    <row r="628" spans="1:2">
      <c r="A628" s="47"/>
      <c r="B628" s="47"/>
    </row>
    <row r="629" spans="1:2">
      <c r="A629" s="47"/>
      <c r="B629" s="47"/>
    </row>
    <row r="630" spans="1:2">
      <c r="A630" s="47"/>
      <c r="B630" s="47"/>
    </row>
    <row r="631" spans="1:2">
      <c r="A631" s="47"/>
      <c r="B631" s="47"/>
    </row>
    <row r="632" spans="1:2">
      <c r="A632" s="47"/>
      <c r="B632" s="47"/>
    </row>
    <row r="633" spans="1:2">
      <c r="A633" s="47"/>
      <c r="B633" s="47"/>
    </row>
    <row r="634" spans="1:2">
      <c r="A634" s="47"/>
      <c r="B634" s="47"/>
    </row>
    <row r="635" spans="1:2">
      <c r="A635" s="47"/>
      <c r="B635" s="47"/>
    </row>
    <row r="636" spans="1:2">
      <c r="A636" s="47"/>
      <c r="B636" s="47"/>
    </row>
    <row r="637" spans="1:2">
      <c r="A637" s="47"/>
      <c r="B637" s="47"/>
    </row>
    <row r="638" spans="1:2">
      <c r="A638" s="47"/>
      <c r="B638" s="47"/>
    </row>
    <row r="639" spans="1:2">
      <c r="A639" s="47"/>
      <c r="B639" s="47"/>
    </row>
    <row r="640" spans="1:2">
      <c r="A640" s="47"/>
      <c r="B640" s="47"/>
    </row>
    <row r="641" spans="1:2">
      <c r="A641" s="47"/>
      <c r="B641" s="47"/>
    </row>
    <row r="642" spans="1:2">
      <c r="A642" s="47"/>
      <c r="B642" s="47"/>
    </row>
    <row r="643" spans="1:2">
      <c r="A643" s="47"/>
      <c r="B643" s="47"/>
    </row>
    <row r="644" spans="1:2">
      <c r="A644" s="47"/>
      <c r="B644" s="47"/>
    </row>
    <row r="645" spans="1:2">
      <c r="A645" s="47"/>
      <c r="B645" s="47"/>
    </row>
    <row r="646" spans="1:2">
      <c r="A646" s="47"/>
      <c r="B646" s="47"/>
    </row>
    <row r="647" spans="1:2">
      <c r="A647" s="47"/>
      <c r="B647" s="47"/>
    </row>
    <row r="648" spans="1:2">
      <c r="A648" s="47"/>
      <c r="B648" s="47"/>
    </row>
    <row r="649" spans="1:2">
      <c r="A649" s="47"/>
      <c r="B649" s="47"/>
    </row>
    <row r="650" spans="1:2">
      <c r="A650" s="47"/>
      <c r="B650" s="47"/>
    </row>
    <row r="651" spans="1:2">
      <c r="A651" s="47"/>
      <c r="B651" s="47"/>
    </row>
    <row r="652" spans="1:2">
      <c r="A652" s="47"/>
      <c r="B652" s="47"/>
    </row>
    <row r="653" spans="1:2">
      <c r="A653" s="47"/>
      <c r="B653" s="47"/>
    </row>
    <row r="654" spans="1:2">
      <c r="A654" s="47"/>
      <c r="B654" s="47"/>
    </row>
    <row r="655" spans="1:2">
      <c r="A655" s="47"/>
      <c r="B655" s="47"/>
    </row>
    <row r="656" spans="1:2">
      <c r="A656" s="47"/>
      <c r="B656" s="47"/>
    </row>
    <row r="657" spans="1:2">
      <c r="A657" s="47"/>
      <c r="B657" s="47"/>
    </row>
    <row r="658" spans="1:2">
      <c r="A658" s="47"/>
      <c r="B658" s="47"/>
    </row>
    <row r="659" spans="1:2">
      <c r="A659" s="47"/>
      <c r="B659" s="47"/>
    </row>
    <row r="660" spans="1:2">
      <c r="A660" s="47"/>
      <c r="B660" s="47"/>
    </row>
    <row r="661" spans="1:2">
      <c r="A661" s="47"/>
      <c r="B661" s="47"/>
    </row>
    <row r="662" spans="1:2">
      <c r="A662" s="47"/>
      <c r="B662" s="47"/>
    </row>
    <row r="663" spans="1:2">
      <c r="A663" s="47"/>
      <c r="B663" s="47"/>
    </row>
    <row r="664" spans="1:2">
      <c r="A664" s="47"/>
      <c r="B664" s="47"/>
    </row>
    <row r="665" spans="1:2">
      <c r="A665" s="47"/>
      <c r="B665" s="47"/>
    </row>
    <row r="666" spans="1:2">
      <c r="A666" s="47"/>
      <c r="B666" s="47"/>
    </row>
    <row r="667" spans="1:2">
      <c r="A667" s="47"/>
      <c r="B667" s="47"/>
    </row>
    <row r="668" spans="1:2">
      <c r="A668" s="47"/>
      <c r="B668" s="47"/>
    </row>
    <row r="669" spans="1:2">
      <c r="A669" s="47"/>
      <c r="B669" s="47"/>
    </row>
    <row r="670" spans="1:2">
      <c r="A670" s="47"/>
      <c r="B670" s="47"/>
    </row>
    <row r="671" spans="1:2">
      <c r="A671" s="47"/>
      <c r="B671" s="47"/>
    </row>
    <row r="672" spans="1:2">
      <c r="A672" s="47"/>
      <c r="B672" s="47"/>
    </row>
    <row r="673" spans="1:2">
      <c r="A673" s="47"/>
      <c r="B673" s="47"/>
    </row>
    <row r="674" spans="1:2">
      <c r="A674" s="47"/>
      <c r="B674" s="47"/>
    </row>
    <row r="675" spans="1:2">
      <c r="A675" s="47"/>
      <c r="B675" s="47"/>
    </row>
    <row r="676" spans="1:2">
      <c r="A676" s="47"/>
      <c r="B676" s="47"/>
    </row>
    <row r="677" spans="1:2">
      <c r="A677" s="47"/>
      <c r="B677" s="47"/>
    </row>
    <row r="678" spans="1:2">
      <c r="A678" s="47"/>
      <c r="B678" s="47"/>
    </row>
    <row r="679" spans="1:2">
      <c r="A679" s="47"/>
      <c r="B679" s="47"/>
    </row>
    <row r="680" spans="1:2">
      <c r="A680" s="47"/>
      <c r="B680" s="47"/>
    </row>
    <row r="681" spans="1:2">
      <c r="A681" s="47"/>
      <c r="B681" s="47"/>
    </row>
    <row r="682" spans="1:2">
      <c r="A682" s="47"/>
      <c r="B682" s="47"/>
    </row>
    <row r="683" spans="1:2">
      <c r="A683" s="47"/>
      <c r="B683" s="47"/>
    </row>
    <row r="684" spans="1:2">
      <c r="A684" s="47"/>
      <c r="B684" s="47"/>
    </row>
    <row r="685" spans="1:2">
      <c r="A685" s="47"/>
      <c r="B685" s="47"/>
    </row>
    <row r="686" spans="1:2">
      <c r="A686" s="47"/>
      <c r="B686" s="47"/>
    </row>
    <row r="687" spans="1:2">
      <c r="A687" s="47"/>
      <c r="B687" s="47"/>
    </row>
    <row r="688" spans="1:2">
      <c r="A688" s="47"/>
      <c r="B688" s="47"/>
    </row>
    <row r="689" spans="1:2">
      <c r="A689" s="47"/>
      <c r="B689" s="47"/>
    </row>
    <row r="690" spans="1:2">
      <c r="A690" s="47"/>
      <c r="B690" s="47"/>
    </row>
    <row r="691" spans="1:2">
      <c r="A691" s="47"/>
      <c r="B691" s="47"/>
    </row>
    <row r="692" spans="1:2">
      <c r="A692" s="47"/>
      <c r="B692" s="47"/>
    </row>
    <row r="693" spans="1:2">
      <c r="A693" s="47"/>
      <c r="B693" s="47"/>
    </row>
    <row r="694" spans="1:2">
      <c r="A694" s="47"/>
      <c r="B694" s="47"/>
    </row>
    <row r="695" spans="1:2">
      <c r="A695" s="47"/>
      <c r="B695" s="47"/>
    </row>
    <row r="696" spans="1:2">
      <c r="A696" s="47"/>
      <c r="B696" s="47"/>
    </row>
    <row r="697" spans="1:2">
      <c r="A697" s="47"/>
      <c r="B697" s="47"/>
    </row>
    <row r="698" spans="1:2">
      <c r="A698" s="47"/>
      <c r="B698" s="47"/>
    </row>
    <row r="699" spans="1:2">
      <c r="A699" s="47"/>
      <c r="B699" s="47"/>
    </row>
    <row r="700" spans="1:2">
      <c r="A700" s="47"/>
      <c r="B700" s="47"/>
    </row>
    <row r="701" spans="1:2">
      <c r="A701" s="47"/>
      <c r="B701" s="47"/>
    </row>
    <row r="702" spans="1:2">
      <c r="A702" s="47"/>
      <c r="B702" s="47"/>
    </row>
    <row r="703" spans="1:2">
      <c r="A703" s="47"/>
      <c r="B703" s="47"/>
    </row>
    <row r="704" spans="1:2">
      <c r="A704" s="47"/>
      <c r="B704" s="47"/>
    </row>
    <row r="705" spans="1:2">
      <c r="A705" s="47"/>
      <c r="B705" s="47"/>
    </row>
    <row r="706" spans="1:2">
      <c r="A706" s="47"/>
      <c r="B706" s="47"/>
    </row>
    <row r="707" spans="1:2">
      <c r="A707" s="47"/>
      <c r="B707" s="47"/>
    </row>
    <row r="708" spans="1:2">
      <c r="A708" s="47"/>
      <c r="B708" s="47"/>
    </row>
    <row r="709" spans="1:2">
      <c r="A709" s="47"/>
      <c r="B709" s="47"/>
    </row>
    <row r="710" spans="1:2">
      <c r="A710" s="47"/>
      <c r="B710" s="47"/>
    </row>
    <row r="711" spans="1:2">
      <c r="A711" s="47"/>
      <c r="B711" s="47"/>
    </row>
    <row r="712" spans="1:2">
      <c r="A712" s="47"/>
      <c r="B712" s="47"/>
    </row>
    <row r="713" spans="1:2">
      <c r="A713" s="47"/>
      <c r="B713" s="47"/>
    </row>
    <row r="714" spans="1:2">
      <c r="A714" s="47"/>
      <c r="B714" s="47"/>
    </row>
    <row r="715" spans="1:2">
      <c r="A715" s="47"/>
      <c r="B715" s="47"/>
    </row>
    <row r="716" spans="1:2">
      <c r="A716" s="47"/>
      <c r="B716" s="47"/>
    </row>
    <row r="717" spans="1:2">
      <c r="A717" s="47"/>
      <c r="B717" s="47"/>
    </row>
    <row r="718" spans="1:2">
      <c r="A718" s="47"/>
      <c r="B718" s="47"/>
    </row>
    <row r="719" spans="1:2">
      <c r="A719" s="47"/>
      <c r="B719" s="47"/>
    </row>
    <row r="720" spans="1:2">
      <c r="A720" s="47"/>
      <c r="B720" s="47"/>
    </row>
    <row r="721" spans="1:2">
      <c r="A721" s="47"/>
      <c r="B721" s="47"/>
    </row>
    <row r="722" spans="1:2">
      <c r="A722" s="47"/>
      <c r="B722" s="47"/>
    </row>
    <row r="723" spans="1:2">
      <c r="A723" s="47"/>
      <c r="B723" s="47"/>
    </row>
    <row r="724" spans="1:2">
      <c r="A724" s="47"/>
      <c r="B724" s="47"/>
    </row>
    <row r="725" spans="1:2">
      <c r="A725" s="47"/>
      <c r="B725" s="47"/>
    </row>
    <row r="726" spans="1:2">
      <c r="A726" s="47"/>
      <c r="B726" s="47"/>
    </row>
    <row r="727" spans="1:2">
      <c r="A727" s="47"/>
      <c r="B727" s="47"/>
    </row>
    <row r="728" spans="1:2">
      <c r="A728" s="47"/>
      <c r="B728" s="47"/>
    </row>
    <row r="729" spans="1:2">
      <c r="A729" s="47"/>
      <c r="B729" s="47"/>
    </row>
    <row r="730" spans="1:2">
      <c r="A730" s="47"/>
      <c r="B730" s="47"/>
    </row>
    <row r="731" spans="1:2">
      <c r="A731" s="47"/>
      <c r="B731" s="47"/>
    </row>
    <row r="732" spans="1:2">
      <c r="A732" s="47"/>
      <c r="B732" s="47"/>
    </row>
    <row r="733" spans="1:2">
      <c r="A733" s="47"/>
      <c r="B733" s="47"/>
    </row>
    <row r="734" spans="1:2">
      <c r="A734" s="47"/>
      <c r="B734" s="47"/>
    </row>
    <row r="735" spans="1:2">
      <c r="A735" s="47"/>
      <c r="B735" s="47"/>
    </row>
    <row r="736" spans="1:2">
      <c r="A736" s="47"/>
      <c r="B736" s="47"/>
    </row>
    <row r="737" spans="1:2">
      <c r="A737" s="47"/>
      <c r="B737" s="47"/>
    </row>
    <row r="738" spans="1:2">
      <c r="A738" s="47"/>
      <c r="B738" s="47"/>
    </row>
    <row r="739" spans="1:2">
      <c r="A739" s="47"/>
      <c r="B739" s="47"/>
    </row>
    <row r="740" spans="1:2">
      <c r="A740" s="47"/>
      <c r="B740" s="47"/>
    </row>
    <row r="741" spans="1:2">
      <c r="A741" s="47"/>
      <c r="B741" s="47"/>
    </row>
    <row r="742" spans="1:2">
      <c r="A742" s="47"/>
      <c r="B742" s="47"/>
    </row>
    <row r="743" spans="1:2">
      <c r="A743" s="47"/>
      <c r="B743" s="47"/>
    </row>
    <row r="744" spans="1:2">
      <c r="A744" s="47"/>
      <c r="B744" s="47"/>
    </row>
    <row r="745" spans="1:2">
      <c r="A745" s="47"/>
      <c r="B745" s="47"/>
    </row>
    <row r="746" spans="1:2">
      <c r="A746" s="47"/>
      <c r="B746" s="47"/>
    </row>
    <row r="747" spans="1:2">
      <c r="A747" s="47"/>
      <c r="B747" s="47"/>
    </row>
    <row r="748" spans="1:2">
      <c r="A748" s="47"/>
      <c r="B748" s="47"/>
    </row>
    <row r="749" spans="1:2">
      <c r="A749" s="47"/>
      <c r="B749" s="47"/>
    </row>
    <row r="750" spans="1:2">
      <c r="A750" s="47"/>
      <c r="B750" s="47"/>
    </row>
    <row r="751" spans="1:2">
      <c r="A751" s="47"/>
      <c r="B751" s="47"/>
    </row>
    <row r="752" spans="1:2">
      <c r="A752" s="47"/>
      <c r="B752" s="47"/>
    </row>
    <row r="753" spans="1:2">
      <c r="A753" s="47"/>
      <c r="B753" s="47"/>
    </row>
    <row r="754" spans="1:2">
      <c r="A754" s="47"/>
      <c r="B754" s="47"/>
    </row>
    <row r="755" spans="1:2">
      <c r="A755" s="47"/>
      <c r="B755" s="47"/>
    </row>
    <row r="756" spans="1:2">
      <c r="A756" s="47"/>
      <c r="B756" s="47"/>
    </row>
    <row r="757" spans="1:2">
      <c r="A757" s="47"/>
      <c r="B757" s="47"/>
    </row>
    <row r="758" spans="1:2">
      <c r="A758" s="47"/>
      <c r="B758" s="47"/>
    </row>
    <row r="759" spans="1:2">
      <c r="A759" s="47"/>
      <c r="B759" s="47"/>
    </row>
    <row r="760" spans="1:2">
      <c r="A760" s="47"/>
      <c r="B760" s="47"/>
    </row>
    <row r="761" spans="1:2">
      <c r="A761" s="47"/>
      <c r="B761" s="47"/>
    </row>
    <row r="762" spans="1:2">
      <c r="A762" s="47"/>
      <c r="B762" s="47"/>
    </row>
    <row r="763" spans="1:2">
      <c r="A763" s="47"/>
      <c r="B763" s="47"/>
    </row>
    <row r="764" spans="1:2">
      <c r="A764" s="47"/>
      <c r="B764" s="47"/>
    </row>
    <row r="765" spans="1:2">
      <c r="A765" s="47"/>
      <c r="B765" s="47"/>
    </row>
    <row r="766" spans="1:2">
      <c r="A766" s="47"/>
      <c r="B766" s="47"/>
    </row>
    <row r="767" spans="1:2">
      <c r="A767" s="47"/>
      <c r="B767" s="47"/>
    </row>
    <row r="768" spans="1:2">
      <c r="A768" s="47"/>
      <c r="B768" s="47"/>
    </row>
    <row r="769" spans="1:2">
      <c r="A769" s="47"/>
      <c r="B769" s="47"/>
    </row>
    <row r="770" spans="1:2">
      <c r="A770" s="47"/>
      <c r="B770" s="47"/>
    </row>
    <row r="771" spans="1:2">
      <c r="A771" s="47"/>
      <c r="B771" s="47"/>
    </row>
    <row r="772" spans="1:2">
      <c r="A772" s="47"/>
      <c r="B772" s="47"/>
    </row>
    <row r="773" spans="1:2">
      <c r="A773" s="47"/>
      <c r="B773" s="47"/>
    </row>
    <row r="774" spans="1:2">
      <c r="A774" s="47"/>
      <c r="B774" s="47"/>
    </row>
    <row r="775" spans="1:2">
      <c r="A775" s="47"/>
      <c r="B775" s="47"/>
    </row>
    <row r="776" spans="1:2">
      <c r="A776" s="47"/>
      <c r="B776" s="47"/>
    </row>
    <row r="777" spans="1:2">
      <c r="A777" s="47"/>
      <c r="B777" s="47"/>
    </row>
    <row r="778" spans="1:2">
      <c r="A778" s="47"/>
      <c r="B778" s="47"/>
    </row>
    <row r="779" spans="1:2">
      <c r="A779" s="47"/>
      <c r="B779" s="47"/>
    </row>
    <row r="780" spans="1:2">
      <c r="A780" s="47"/>
      <c r="B780" s="47"/>
    </row>
    <row r="781" spans="1:2">
      <c r="A781" s="47"/>
      <c r="B781" s="47"/>
    </row>
    <row r="782" spans="1:2">
      <c r="A782" s="47"/>
      <c r="B782" s="47"/>
    </row>
    <row r="783" spans="1:2">
      <c r="A783" s="47"/>
      <c r="B783" s="47"/>
    </row>
    <row r="784" spans="1:2">
      <c r="A784" s="47"/>
      <c r="B784" s="47"/>
    </row>
    <row r="785" spans="1:2">
      <c r="A785" s="47"/>
      <c r="B785" s="47"/>
    </row>
    <row r="786" spans="1:2">
      <c r="A786" s="47"/>
      <c r="B786" s="47"/>
    </row>
    <row r="787" spans="1:2">
      <c r="A787" s="47"/>
      <c r="B787" s="47"/>
    </row>
    <row r="788" spans="1:2">
      <c r="A788" s="47"/>
      <c r="B788" s="47"/>
    </row>
    <row r="789" spans="1:2">
      <c r="A789" s="47"/>
      <c r="B789" s="47"/>
    </row>
    <row r="790" spans="1:2">
      <c r="A790" s="47"/>
      <c r="B790" s="47"/>
    </row>
    <row r="791" spans="1:2">
      <c r="A791" s="47"/>
      <c r="B791" s="47"/>
    </row>
    <row r="792" spans="1:2">
      <c r="A792" s="47"/>
      <c r="B792" s="47"/>
    </row>
    <row r="793" spans="1:2">
      <c r="A793" s="47"/>
      <c r="B793" s="47"/>
    </row>
    <row r="794" spans="1:2">
      <c r="A794" s="47"/>
      <c r="B794" s="47"/>
    </row>
    <row r="795" spans="1:2">
      <c r="A795" s="47"/>
      <c r="B795" s="47"/>
    </row>
    <row r="796" spans="1:2">
      <c r="A796" s="47"/>
      <c r="B796" s="47"/>
    </row>
    <row r="797" spans="1:2">
      <c r="A797" s="47"/>
      <c r="B797" s="47"/>
    </row>
    <row r="798" spans="1:2">
      <c r="A798" s="47"/>
      <c r="B798" s="47"/>
    </row>
    <row r="799" spans="1:2">
      <c r="A799" s="47"/>
      <c r="B799" s="47"/>
    </row>
    <row r="800" spans="1:2">
      <c r="A800" s="47"/>
      <c r="B800" s="47"/>
    </row>
    <row r="801" spans="1:2">
      <c r="A801" s="47"/>
      <c r="B801" s="47"/>
    </row>
    <row r="802" spans="1:2">
      <c r="A802" s="47"/>
      <c r="B802" s="47"/>
    </row>
    <row r="803" spans="1:2">
      <c r="A803" s="47"/>
      <c r="B803" s="47"/>
    </row>
    <row r="804" spans="1:2">
      <c r="A804" s="47"/>
      <c r="B804" s="47"/>
    </row>
    <row r="805" spans="1:2">
      <c r="A805" s="47"/>
      <c r="B805" s="47"/>
    </row>
    <row r="806" spans="1:2">
      <c r="A806" s="47"/>
      <c r="B806" s="47"/>
    </row>
    <row r="807" spans="1:2">
      <c r="A807" s="47"/>
      <c r="B807" s="47"/>
    </row>
    <row r="808" spans="1:2">
      <c r="A808" s="47"/>
      <c r="B808" s="47"/>
    </row>
    <row r="809" spans="1:2">
      <c r="A809" s="47"/>
      <c r="B809" s="47"/>
    </row>
    <row r="810" spans="1:2">
      <c r="A810" s="47"/>
      <c r="B810" s="47"/>
    </row>
    <row r="811" spans="1:2">
      <c r="A811" s="47"/>
      <c r="B811" s="47"/>
    </row>
    <row r="812" spans="1:2">
      <c r="A812" s="47"/>
      <c r="B812" s="47"/>
    </row>
    <row r="813" spans="1:2">
      <c r="A813" s="47"/>
      <c r="B813" s="47"/>
    </row>
    <row r="814" spans="1:2">
      <c r="A814" s="47"/>
      <c r="B814" s="47"/>
    </row>
    <row r="815" spans="1:2">
      <c r="A815" s="47"/>
      <c r="B815" s="47"/>
    </row>
    <row r="816" spans="1:2">
      <c r="A816" s="47"/>
      <c r="B816" s="47"/>
    </row>
    <row r="817" spans="1:2">
      <c r="A817" s="47"/>
      <c r="B817" s="47"/>
    </row>
    <row r="818" spans="1:2">
      <c r="A818" s="47"/>
      <c r="B818" s="47"/>
    </row>
    <row r="819" spans="1:2">
      <c r="A819" s="47"/>
      <c r="B819" s="47"/>
    </row>
    <row r="820" spans="1:2">
      <c r="A820" s="47"/>
      <c r="B820" s="47"/>
    </row>
    <row r="821" spans="1:2">
      <c r="A821" s="47"/>
      <c r="B821" s="47"/>
    </row>
    <row r="822" spans="1:2">
      <c r="A822" s="47"/>
      <c r="B822" s="47"/>
    </row>
    <row r="823" spans="1:2">
      <c r="A823" s="47"/>
      <c r="B823" s="47"/>
    </row>
    <row r="824" spans="1:2">
      <c r="A824" s="47"/>
      <c r="B824" s="47"/>
    </row>
    <row r="825" spans="1:2">
      <c r="A825" s="47"/>
      <c r="B825" s="47"/>
    </row>
    <row r="826" spans="1:2">
      <c r="A826" s="47"/>
      <c r="B826" s="47"/>
    </row>
    <row r="827" spans="1:2">
      <c r="A827" s="47"/>
      <c r="B827" s="47"/>
    </row>
    <row r="828" spans="1:2">
      <c r="A828" s="47"/>
      <c r="B828" s="47"/>
    </row>
    <row r="829" spans="1:2">
      <c r="A829" s="47"/>
      <c r="B829" s="47"/>
    </row>
    <row r="830" spans="1:2">
      <c r="A830" s="47"/>
      <c r="B830" s="47"/>
    </row>
    <row r="831" spans="1:2">
      <c r="A831" s="47"/>
      <c r="B831" s="47"/>
    </row>
    <row r="832" spans="1:2">
      <c r="A832" s="47"/>
      <c r="B832" s="47"/>
    </row>
    <row r="833" spans="1:2">
      <c r="A833" s="47"/>
      <c r="B833" s="47"/>
    </row>
    <row r="834" spans="1:2">
      <c r="A834" s="47"/>
      <c r="B834" s="47"/>
    </row>
    <row r="835" spans="1:2">
      <c r="A835" s="47"/>
      <c r="B835" s="47"/>
    </row>
    <row r="836" spans="1:2">
      <c r="A836" s="47"/>
      <c r="B836" s="47"/>
    </row>
    <row r="837" spans="1:2">
      <c r="A837" s="47"/>
      <c r="B837" s="47"/>
    </row>
    <row r="838" spans="1:2">
      <c r="A838" s="47"/>
      <c r="B838" s="47"/>
    </row>
    <row r="839" spans="1:2">
      <c r="A839" s="47"/>
      <c r="B839" s="47"/>
    </row>
    <row r="840" spans="1:2">
      <c r="A840" s="47"/>
      <c r="B840" s="47"/>
    </row>
    <row r="841" spans="1:2">
      <c r="A841" s="47"/>
      <c r="B841" s="47"/>
    </row>
    <row r="842" spans="1:2">
      <c r="A842" s="47"/>
      <c r="B842" s="47"/>
    </row>
    <row r="843" spans="1:2">
      <c r="A843" s="47"/>
      <c r="B843" s="47"/>
    </row>
    <row r="844" spans="1:2">
      <c r="A844" s="47"/>
      <c r="B844" s="47"/>
    </row>
    <row r="845" spans="1:2">
      <c r="A845" s="47"/>
      <c r="B845" s="47"/>
    </row>
    <row r="846" spans="1:2">
      <c r="A846" s="47"/>
      <c r="B846" s="47"/>
    </row>
    <row r="847" spans="1:2">
      <c r="A847" s="47"/>
      <c r="B847" s="47"/>
    </row>
    <row r="848" spans="1:2">
      <c r="A848" s="47"/>
      <c r="B848" s="47"/>
    </row>
    <row r="849" spans="1:2">
      <c r="A849" s="47"/>
      <c r="B849" s="47"/>
    </row>
    <row r="850" spans="1:2">
      <c r="A850" s="47"/>
      <c r="B850" s="47"/>
    </row>
    <row r="851" spans="1:2">
      <c r="A851" s="47"/>
      <c r="B851" s="47"/>
    </row>
    <row r="852" spans="1:2">
      <c r="A852" s="47"/>
      <c r="B852" s="47"/>
    </row>
    <row r="853" spans="1:2">
      <c r="A853" s="47"/>
      <c r="B853" s="47"/>
    </row>
    <row r="854" spans="1:2">
      <c r="A854" s="47"/>
      <c r="B854" s="47"/>
    </row>
    <row r="855" spans="1:2">
      <c r="A855" s="47"/>
      <c r="B855" s="47"/>
    </row>
    <row r="856" spans="1:2">
      <c r="A856" s="47"/>
      <c r="B856" s="47"/>
    </row>
    <row r="857" spans="1:2">
      <c r="A857" s="47"/>
      <c r="B857" s="47"/>
    </row>
    <row r="858" spans="1:2">
      <c r="A858" s="47"/>
      <c r="B858" s="47"/>
    </row>
    <row r="859" spans="1:2">
      <c r="A859" s="47"/>
      <c r="B859" s="47"/>
    </row>
    <row r="860" spans="1:2">
      <c r="A860" s="47"/>
      <c r="B860" s="47"/>
    </row>
    <row r="861" spans="1:2">
      <c r="A861" s="47"/>
      <c r="B861" s="47"/>
    </row>
    <row r="862" spans="1:2">
      <c r="A862" s="47"/>
      <c r="B862" s="47"/>
    </row>
    <row r="863" spans="1:2">
      <c r="A863" s="47"/>
      <c r="B863" s="47"/>
    </row>
    <row r="864" spans="1:2">
      <c r="A864" s="47"/>
      <c r="B864" s="47"/>
    </row>
    <row r="865" spans="1:2">
      <c r="A865" s="47"/>
      <c r="B865" s="47"/>
    </row>
    <row r="866" spans="1:2">
      <c r="A866" s="47"/>
      <c r="B866" s="47"/>
    </row>
    <row r="867" spans="1:2">
      <c r="A867" s="47"/>
      <c r="B867" s="47"/>
    </row>
    <row r="868" spans="1:2">
      <c r="A868" s="47"/>
      <c r="B868" s="47"/>
    </row>
    <row r="869" spans="1:2">
      <c r="A869" s="47"/>
      <c r="B869" s="47"/>
    </row>
    <row r="870" spans="1:2">
      <c r="A870" s="47"/>
      <c r="B870" s="47"/>
    </row>
    <row r="871" spans="1:2">
      <c r="A871" s="47"/>
      <c r="B871" s="47"/>
    </row>
    <row r="872" spans="1:2">
      <c r="A872" s="47"/>
      <c r="B872" s="47"/>
    </row>
    <row r="873" spans="1:2">
      <c r="A873" s="47"/>
      <c r="B873" s="47"/>
    </row>
    <row r="874" spans="1:2">
      <c r="A874" s="47"/>
      <c r="B874" s="47"/>
    </row>
    <row r="875" spans="1:2">
      <c r="A875" s="47"/>
      <c r="B875" s="47"/>
    </row>
    <row r="876" spans="1:2">
      <c r="A876" s="47"/>
      <c r="B876" s="47"/>
    </row>
    <row r="877" spans="1:2">
      <c r="A877" s="47"/>
      <c r="B877" s="47"/>
    </row>
    <row r="878" spans="1:2">
      <c r="A878" s="47"/>
      <c r="B878" s="47"/>
    </row>
    <row r="879" spans="1:2">
      <c r="A879" s="47"/>
      <c r="B879" s="47"/>
    </row>
    <row r="880" spans="1:2">
      <c r="A880" s="47"/>
      <c r="B880" s="47"/>
    </row>
    <row r="881" spans="1:2">
      <c r="A881" s="47"/>
      <c r="B881" s="47"/>
    </row>
    <row r="882" spans="1:2">
      <c r="A882" s="47"/>
      <c r="B882" s="47"/>
    </row>
    <row r="883" spans="1:2">
      <c r="A883" s="47"/>
      <c r="B883" s="47"/>
    </row>
    <row r="884" spans="1:2">
      <c r="A884" s="47"/>
      <c r="B884" s="47"/>
    </row>
    <row r="885" spans="1:2">
      <c r="A885" s="47"/>
      <c r="B885" s="47"/>
    </row>
    <row r="886" spans="1:2">
      <c r="A886" s="47"/>
      <c r="B886" s="47"/>
    </row>
    <row r="887" spans="1:2">
      <c r="A887" s="47"/>
      <c r="B887" s="47"/>
    </row>
    <row r="888" spans="1:2">
      <c r="A888" s="47"/>
      <c r="B888" s="47"/>
    </row>
    <row r="889" spans="1:2">
      <c r="A889" s="47"/>
      <c r="B889" s="47"/>
    </row>
    <row r="890" spans="1:2">
      <c r="A890" s="47"/>
      <c r="B890" s="47"/>
    </row>
    <row r="891" spans="1:2">
      <c r="A891" s="47"/>
      <c r="B891" s="47"/>
    </row>
    <row r="892" spans="1:2">
      <c r="A892" s="47"/>
      <c r="B892" s="47"/>
    </row>
    <row r="893" spans="1:2">
      <c r="A893" s="47"/>
      <c r="B893" s="47"/>
    </row>
    <row r="894" spans="1:2">
      <c r="A894" s="47"/>
      <c r="B894" s="47"/>
    </row>
    <row r="895" spans="1:2">
      <c r="A895" s="47"/>
      <c r="B895" s="47"/>
    </row>
    <row r="896" spans="1:2">
      <c r="A896" s="47"/>
      <c r="B896" s="47"/>
    </row>
    <row r="897" spans="1:2">
      <c r="A897" s="47"/>
      <c r="B897" s="47"/>
    </row>
    <row r="898" spans="1:2">
      <c r="A898" s="47"/>
      <c r="B898" s="47"/>
    </row>
    <row r="899" spans="1:2">
      <c r="A899" s="47"/>
      <c r="B899" s="47"/>
    </row>
    <row r="900" spans="1:2">
      <c r="A900" s="47"/>
      <c r="B900" s="47"/>
    </row>
    <row r="901" spans="1:2">
      <c r="A901" s="47"/>
      <c r="B901" s="47"/>
    </row>
    <row r="902" spans="1:2">
      <c r="A902" s="47"/>
      <c r="B902" s="47"/>
    </row>
    <row r="903" spans="1:2">
      <c r="A903" s="47"/>
      <c r="B903" s="47"/>
    </row>
    <row r="904" spans="1:2">
      <c r="A904" s="47"/>
      <c r="B904" s="47"/>
    </row>
    <row r="905" spans="1:2">
      <c r="A905" s="47"/>
      <c r="B905" s="47"/>
    </row>
    <row r="906" spans="1:2">
      <c r="A906" s="47"/>
      <c r="B906" s="47"/>
    </row>
    <row r="907" spans="1:2">
      <c r="A907" s="47"/>
      <c r="B907" s="47"/>
    </row>
    <row r="908" spans="1:2">
      <c r="A908" s="47"/>
      <c r="B908" s="47"/>
    </row>
    <row r="909" spans="1:2">
      <c r="A909" s="47"/>
      <c r="B909" s="47"/>
    </row>
    <row r="910" spans="1:2">
      <c r="A910" s="47"/>
      <c r="B910" s="47"/>
    </row>
    <row r="911" spans="1:2">
      <c r="A911" s="47"/>
      <c r="B911" s="47"/>
    </row>
    <row r="912" spans="1:2">
      <c r="A912" s="47"/>
      <c r="B912" s="47"/>
    </row>
    <row r="913" spans="1:2">
      <c r="A913" s="47"/>
      <c r="B913" s="47"/>
    </row>
    <row r="914" spans="1:2">
      <c r="A914" s="47"/>
      <c r="B914" s="47"/>
    </row>
    <row r="915" spans="1:2">
      <c r="A915" s="47"/>
      <c r="B915" s="47"/>
    </row>
    <row r="916" spans="1:2">
      <c r="A916" s="47"/>
      <c r="B916" s="47"/>
    </row>
    <row r="917" spans="1:2">
      <c r="A917" s="47"/>
      <c r="B917" s="47"/>
    </row>
    <row r="918" spans="1:2">
      <c r="A918" s="47"/>
      <c r="B918" s="47"/>
    </row>
    <row r="919" spans="1:2">
      <c r="A919" s="47"/>
      <c r="B919" s="47"/>
    </row>
    <row r="920" spans="1:2">
      <c r="A920" s="47"/>
      <c r="B920" s="47"/>
    </row>
    <row r="921" spans="1:2">
      <c r="A921" s="47"/>
      <c r="B921" s="47"/>
    </row>
    <row r="922" spans="1:2">
      <c r="A922" s="47"/>
      <c r="B922" s="47"/>
    </row>
    <row r="923" spans="1:2">
      <c r="A923" s="47"/>
      <c r="B923" s="47"/>
    </row>
    <row r="924" spans="1:2">
      <c r="A924" s="47"/>
      <c r="B924" s="47"/>
    </row>
    <row r="925" spans="1:2">
      <c r="A925" s="47"/>
      <c r="B925" s="47"/>
    </row>
    <row r="926" spans="1:2">
      <c r="A926" s="47"/>
      <c r="B926" s="47"/>
    </row>
    <row r="927" spans="1:2">
      <c r="A927" s="47"/>
      <c r="B927" s="47"/>
    </row>
    <row r="928" spans="1:2">
      <c r="A928" s="47"/>
      <c r="B928" s="47"/>
    </row>
    <row r="929" spans="1:2">
      <c r="A929" s="47"/>
      <c r="B929" s="47"/>
    </row>
    <row r="930" spans="1:2">
      <c r="A930" s="47"/>
      <c r="B930" s="47"/>
    </row>
    <row r="931" spans="1:2">
      <c r="A931" s="47"/>
      <c r="B931" s="47"/>
    </row>
    <row r="932" spans="1:2">
      <c r="A932" s="47"/>
      <c r="B932" s="47"/>
    </row>
    <row r="933" spans="1:2">
      <c r="A933" s="47"/>
      <c r="B933" s="47"/>
    </row>
    <row r="934" spans="1:2">
      <c r="A934" s="47"/>
      <c r="B934" s="47"/>
    </row>
    <row r="935" spans="1:2">
      <c r="A935" s="47"/>
      <c r="B935" s="47"/>
    </row>
    <row r="936" spans="1:2">
      <c r="A936" s="47"/>
      <c r="B936" s="47"/>
    </row>
    <row r="937" spans="1:2">
      <c r="A937" s="47"/>
      <c r="B937" s="47"/>
    </row>
    <row r="938" spans="1:2">
      <c r="A938" s="47"/>
      <c r="B938" s="47"/>
    </row>
    <row r="939" spans="1:2">
      <c r="A939" s="47"/>
      <c r="B939" s="47"/>
    </row>
    <row r="940" spans="1:2">
      <c r="A940" s="47"/>
      <c r="B940" s="47"/>
    </row>
    <row r="941" spans="1:2">
      <c r="A941" s="47"/>
      <c r="B941" s="47"/>
    </row>
    <row r="942" spans="1:2">
      <c r="A942" s="47"/>
      <c r="B942" s="47"/>
    </row>
    <row r="943" spans="1:2">
      <c r="A943" s="47"/>
      <c r="B943" s="47"/>
    </row>
    <row r="944" spans="1:2">
      <c r="A944" s="47"/>
      <c r="B944" s="47"/>
    </row>
    <row r="945" spans="1:2">
      <c r="A945" s="47"/>
      <c r="B945" s="47"/>
    </row>
    <row r="946" spans="1:2">
      <c r="A946" s="47"/>
      <c r="B946" s="47"/>
    </row>
    <row r="947" spans="1:2">
      <c r="A947" s="47"/>
      <c r="B947" s="47"/>
    </row>
    <row r="948" spans="1:2">
      <c r="A948" s="47"/>
      <c r="B948" s="47"/>
    </row>
    <row r="949" spans="1:2">
      <c r="A949" s="47"/>
      <c r="B949" s="47"/>
    </row>
    <row r="950" spans="1:2">
      <c r="A950" s="47"/>
      <c r="B950" s="47"/>
    </row>
    <row r="951" spans="1:2">
      <c r="A951" s="47"/>
      <c r="B951" s="47"/>
    </row>
    <row r="952" spans="1:2">
      <c r="A952" s="47"/>
      <c r="B952" s="47"/>
    </row>
    <row r="953" spans="1:2">
      <c r="A953" s="47"/>
      <c r="B953" s="47"/>
    </row>
    <row r="954" spans="1:2">
      <c r="A954" s="47"/>
      <c r="B954" s="47"/>
    </row>
    <row r="955" spans="1:2">
      <c r="A955" s="47"/>
      <c r="B955" s="47"/>
    </row>
    <row r="956" spans="1:2">
      <c r="A956" s="47"/>
      <c r="B956" s="47"/>
    </row>
    <row r="957" spans="1:2">
      <c r="A957" s="47"/>
      <c r="B957" s="47"/>
    </row>
    <row r="958" spans="1:2">
      <c r="A958" s="47"/>
      <c r="B958" s="47"/>
    </row>
    <row r="959" spans="1:2">
      <c r="A959" s="47"/>
      <c r="B959" s="47"/>
    </row>
    <row r="960" spans="1:2">
      <c r="A960" s="47"/>
      <c r="B960" s="47"/>
    </row>
    <row r="961" spans="1:2">
      <c r="A961" s="47"/>
      <c r="B961" s="47"/>
    </row>
    <row r="962" spans="1:2">
      <c r="A962" s="47"/>
      <c r="B962" s="47"/>
    </row>
    <row r="963" spans="1:2">
      <c r="A963" s="47"/>
      <c r="B963" s="47"/>
    </row>
    <row r="964" spans="1:2">
      <c r="A964" s="47"/>
      <c r="B964" s="47"/>
    </row>
    <row r="965" spans="1:2">
      <c r="A965" s="47"/>
      <c r="B965" s="47"/>
    </row>
    <row r="966" spans="1:2">
      <c r="A966" s="47"/>
      <c r="B966" s="47"/>
    </row>
    <row r="967" spans="1:2">
      <c r="A967" s="47"/>
      <c r="B967" s="47"/>
    </row>
    <row r="968" spans="1:2">
      <c r="A968" s="47"/>
      <c r="B968" s="47"/>
    </row>
    <row r="969" spans="1:2">
      <c r="A969" s="47"/>
      <c r="B969" s="47"/>
    </row>
    <row r="970" spans="1:2">
      <c r="A970" s="47"/>
      <c r="B970" s="47"/>
    </row>
    <row r="971" spans="1:2">
      <c r="A971" s="47"/>
      <c r="B971" s="47"/>
    </row>
    <row r="972" spans="1:2">
      <c r="A972" s="47"/>
      <c r="B972" s="47"/>
    </row>
    <row r="973" spans="1:2">
      <c r="A973" s="47"/>
      <c r="B973" s="47"/>
    </row>
    <row r="974" spans="1:2">
      <c r="A974" s="47"/>
      <c r="B974" s="47"/>
    </row>
    <row r="975" spans="1:2">
      <c r="A975" s="47"/>
      <c r="B975" s="47"/>
    </row>
    <row r="976" spans="1:2">
      <c r="A976" s="47"/>
      <c r="B976" s="47"/>
    </row>
    <row r="977" spans="1:2">
      <c r="A977" s="47"/>
      <c r="B977" s="47"/>
    </row>
    <row r="978" spans="1:2">
      <c r="A978" s="47"/>
      <c r="B978" s="47"/>
    </row>
    <row r="979" spans="1:2">
      <c r="A979" s="47"/>
      <c r="B979" s="47"/>
    </row>
    <row r="980" spans="1:2">
      <c r="A980" s="47"/>
      <c r="B980" s="47"/>
    </row>
    <row r="981" spans="1:2">
      <c r="A981" s="47"/>
      <c r="B981" s="47"/>
    </row>
    <row r="982" spans="1:2">
      <c r="A982" s="47"/>
      <c r="B982" s="47"/>
    </row>
    <row r="983" spans="1:2">
      <c r="A983" s="47"/>
      <c r="B983" s="47"/>
    </row>
    <row r="984" spans="1:2">
      <c r="A984" s="47"/>
      <c r="B984" s="47"/>
    </row>
    <row r="985" spans="1:2">
      <c r="A985" s="47"/>
      <c r="B985" s="47"/>
    </row>
    <row r="986" spans="1:2">
      <c r="A986" s="47"/>
      <c r="B986" s="47"/>
    </row>
    <row r="987" spans="1:2">
      <c r="A987" s="47"/>
      <c r="B987" s="47"/>
    </row>
    <row r="988" spans="1:2">
      <c r="A988" s="47"/>
      <c r="B988" s="47"/>
    </row>
    <row r="989" spans="1:2">
      <c r="A989" s="47"/>
      <c r="B989" s="47"/>
    </row>
    <row r="990" spans="1:2">
      <c r="A990" s="47"/>
      <c r="B990" s="47"/>
    </row>
    <row r="991" spans="1:2">
      <c r="A991" s="47"/>
      <c r="B991" s="47"/>
    </row>
    <row r="992" spans="1:2">
      <c r="A992" s="47"/>
      <c r="B992" s="47"/>
    </row>
    <row r="993" spans="1:2">
      <c r="A993" s="47"/>
      <c r="B993" s="47"/>
    </row>
    <row r="994" spans="1:2">
      <c r="A994" s="47"/>
      <c r="B994" s="47"/>
    </row>
    <row r="995" spans="1:2">
      <c r="A995" s="47"/>
      <c r="B995" s="47"/>
    </row>
    <row r="996" spans="1:2">
      <c r="A996" s="47"/>
      <c r="B996" s="47"/>
    </row>
    <row r="997" spans="1:2">
      <c r="A997" s="47"/>
      <c r="B997" s="47"/>
    </row>
    <row r="998" spans="1:2">
      <c r="A998" s="47"/>
      <c r="B998" s="47"/>
    </row>
    <row r="999" spans="1:2">
      <c r="A999" s="47"/>
      <c r="B999" s="47"/>
    </row>
    <row r="1000" spans="1:2">
      <c r="A1000" s="47"/>
      <c r="B1000" s="47"/>
    </row>
  </sheetData>
  <pageMargins left="0.7" right="0.7" top="0.75" bottom="0.75" header="0.3" footer="0.3"/>
  <pageSetup orientation="portrait" horizontalDpi="0" verticalDpi="0"/>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E2495-376C-4A09-8C44-71BF695E150C}">
  <sheetPr codeName="Sheet2">
    <tabColor theme="3"/>
  </sheetPr>
  <dimension ref="A1:H145"/>
  <sheetViews>
    <sheetView topLeftCell="A86" zoomScale="116" zoomScaleNormal="80" workbookViewId="0">
      <selection activeCell="C104" sqref="C104"/>
    </sheetView>
  </sheetViews>
  <sheetFormatPr baseColWidth="10" defaultColWidth="9.33203125" defaultRowHeight="15"/>
  <cols>
    <col min="1" max="1" width="47.6640625" customWidth="1"/>
    <col min="2" max="2" width="14.83203125" bestFit="1" customWidth="1"/>
    <col min="3" max="3" width="7.6640625" customWidth="1"/>
    <col min="4" max="4" width="9.33203125" bestFit="1" customWidth="1"/>
    <col min="5" max="5" width="22.33203125" bestFit="1" customWidth="1"/>
    <col min="8" max="8" width="24.6640625" bestFit="1" customWidth="1"/>
  </cols>
  <sheetData>
    <row r="1" spans="1:6">
      <c r="A1" s="1" t="s">
        <v>106</v>
      </c>
      <c r="B1" s="1"/>
      <c r="C1" s="1"/>
      <c r="D1" s="1"/>
      <c r="E1" s="1"/>
    </row>
    <row r="2" spans="1:6">
      <c r="A2" s="4" t="s">
        <v>132</v>
      </c>
      <c r="B2" s="4" t="s">
        <v>415</v>
      </c>
      <c r="C2" s="5" t="s">
        <v>416</v>
      </c>
      <c r="D2" s="4" t="s">
        <v>37</v>
      </c>
      <c r="E2" s="4" t="s">
        <v>38</v>
      </c>
    </row>
    <row r="3" spans="1:6">
      <c r="A3" t="s">
        <v>320</v>
      </c>
      <c r="B3" t="s">
        <v>198</v>
      </c>
      <c r="C3" s="162">
        <v>5.5800000000000002E-2</v>
      </c>
      <c r="D3" t="s">
        <v>417</v>
      </c>
      <c r="E3" t="s">
        <v>418</v>
      </c>
    </row>
    <row r="4" spans="1:6">
      <c r="A4" t="s">
        <v>326</v>
      </c>
      <c r="B4" t="s">
        <v>419</v>
      </c>
      <c r="C4" s="164">
        <v>4.4999999999999998E-2</v>
      </c>
      <c r="D4" t="s">
        <v>417</v>
      </c>
      <c r="E4" t="s">
        <v>418</v>
      </c>
    </row>
    <row r="5" spans="1:6">
      <c r="A5" t="s">
        <v>335</v>
      </c>
      <c r="B5" t="s">
        <v>200</v>
      </c>
      <c r="C5" s="162">
        <v>5.2499999999999998E-2</v>
      </c>
      <c r="D5" t="s">
        <v>417</v>
      </c>
      <c r="E5" t="s">
        <v>420</v>
      </c>
    </row>
    <row r="6" spans="1:6">
      <c r="A6" t="s">
        <v>351</v>
      </c>
      <c r="B6" t="s">
        <v>419</v>
      </c>
      <c r="C6" s="162">
        <v>7.0000000000000007E-2</v>
      </c>
      <c r="D6" t="s">
        <v>421</v>
      </c>
      <c r="E6" t="s">
        <v>422</v>
      </c>
    </row>
    <row r="7" spans="1:6">
      <c r="A7" t="s">
        <v>362</v>
      </c>
      <c r="B7" t="s">
        <v>419</v>
      </c>
      <c r="C7" s="164">
        <v>5.7700000000000001E-2</v>
      </c>
      <c r="D7" t="s">
        <v>417</v>
      </c>
      <c r="E7" t="s">
        <v>418</v>
      </c>
    </row>
    <row r="8" spans="1:6">
      <c r="A8" t="s">
        <v>423</v>
      </c>
      <c r="B8" t="s">
        <v>419</v>
      </c>
      <c r="C8" s="162">
        <v>5.67E-2</v>
      </c>
      <c r="D8" t="s">
        <v>424</v>
      </c>
      <c r="E8" t="s">
        <v>418</v>
      </c>
    </row>
    <row r="9" spans="1:6">
      <c r="A9" t="s">
        <v>387</v>
      </c>
      <c r="C9" s="164">
        <v>5.2299999999999999E-2</v>
      </c>
      <c r="D9" t="s">
        <v>417</v>
      </c>
      <c r="E9" t="s">
        <v>418</v>
      </c>
    </row>
    <row r="10" spans="1:6">
      <c r="A10" t="s">
        <v>425</v>
      </c>
      <c r="C10" s="164">
        <v>0.05</v>
      </c>
      <c r="D10" t="s">
        <v>424</v>
      </c>
      <c r="E10" t="s">
        <v>426</v>
      </c>
      <c r="F10" s="61"/>
    </row>
    <row r="11" spans="1:6">
      <c r="A11" t="s">
        <v>427</v>
      </c>
      <c r="B11" t="s">
        <v>419</v>
      </c>
      <c r="C11" s="86">
        <v>3.5000000000000003E-2</v>
      </c>
      <c r="D11" t="s">
        <v>424</v>
      </c>
      <c r="E11" t="s">
        <v>422</v>
      </c>
    </row>
    <row r="12" spans="1:6">
      <c r="A12" t="s">
        <v>428</v>
      </c>
      <c r="B12" t="s">
        <v>419</v>
      </c>
      <c r="C12" s="86">
        <v>6.4000000000000001E-2</v>
      </c>
      <c r="D12" t="s">
        <v>424</v>
      </c>
      <c r="E12" t="s">
        <v>418</v>
      </c>
    </row>
    <row r="13" spans="1:6">
      <c r="A13" t="s">
        <v>408</v>
      </c>
      <c r="B13" t="s">
        <v>419</v>
      </c>
      <c r="C13" s="164">
        <v>4.82E-2</v>
      </c>
      <c r="D13" t="s">
        <v>417</v>
      </c>
      <c r="E13" t="s">
        <v>418</v>
      </c>
    </row>
    <row r="14" spans="1:6">
      <c r="A14" t="s">
        <v>204</v>
      </c>
      <c r="B14" t="s">
        <v>419</v>
      </c>
      <c r="C14" s="3"/>
    </row>
    <row r="18" spans="1:8">
      <c r="B18" t="s">
        <v>419</v>
      </c>
      <c r="C18" s="3"/>
    </row>
    <row r="19" spans="1:8">
      <c r="B19" t="s">
        <v>419</v>
      </c>
      <c r="C19" s="3"/>
    </row>
    <row r="20" spans="1:8">
      <c r="B20" t="s">
        <v>419</v>
      </c>
      <c r="C20" s="3"/>
    </row>
    <row r="21" spans="1:8">
      <c r="B21" t="s">
        <v>419</v>
      </c>
      <c r="C21" s="3"/>
    </row>
    <row r="22" spans="1:8">
      <c r="B22" t="s">
        <v>419</v>
      </c>
    </row>
    <row r="23" spans="1:8">
      <c r="A23" s="1" t="s">
        <v>142</v>
      </c>
      <c r="B23" s="1"/>
      <c r="C23" s="1"/>
      <c r="D23" s="1"/>
      <c r="E23" s="1"/>
    </row>
    <row r="24" spans="1:8">
      <c r="A24" s="4" t="s">
        <v>132</v>
      </c>
      <c r="B24" s="4" t="s">
        <v>415</v>
      </c>
      <c r="C24" s="5" t="s">
        <v>416</v>
      </c>
      <c r="D24" s="4" t="s">
        <v>37</v>
      </c>
      <c r="E24" s="4" t="s">
        <v>38</v>
      </c>
      <c r="H24" s="61" t="s">
        <v>429</v>
      </c>
    </row>
    <row r="25" spans="1:8">
      <c r="A25" t="s">
        <v>341</v>
      </c>
      <c r="C25" s="164">
        <v>8.1199999999999994E-2</v>
      </c>
      <c r="D25" t="s">
        <v>417</v>
      </c>
      <c r="E25" t="s">
        <v>420</v>
      </c>
    </row>
    <row r="26" spans="1:8">
      <c r="A26" t="s">
        <v>343</v>
      </c>
      <c r="C26" s="164">
        <v>0.1024</v>
      </c>
      <c r="D26" t="s">
        <v>417</v>
      </c>
      <c r="E26" t="s">
        <v>420</v>
      </c>
    </row>
    <row r="27" spans="1:8">
      <c r="A27" t="s">
        <v>430</v>
      </c>
      <c r="B27" t="s">
        <v>419</v>
      </c>
      <c r="C27" s="86">
        <v>6.4699999999999994E-2</v>
      </c>
      <c r="D27" t="s">
        <v>417</v>
      </c>
      <c r="E27" t="s">
        <v>420</v>
      </c>
    </row>
    <row r="28" spans="1:8">
      <c r="A28" t="s">
        <v>331</v>
      </c>
      <c r="B28" t="s">
        <v>419</v>
      </c>
      <c r="C28" s="162">
        <v>8.7499999999999994E-2</v>
      </c>
      <c r="D28" t="s">
        <v>417</v>
      </c>
      <c r="E28" t="s">
        <v>420</v>
      </c>
    </row>
    <row r="29" spans="1:8">
      <c r="A29" t="s">
        <v>431</v>
      </c>
      <c r="B29" t="s">
        <v>419</v>
      </c>
      <c r="C29" s="162">
        <v>8.5900000000000004E-2</v>
      </c>
      <c r="D29" t="s">
        <v>417</v>
      </c>
      <c r="E29" t="s">
        <v>420</v>
      </c>
    </row>
    <row r="30" spans="1:8">
      <c r="A30" t="s">
        <v>386</v>
      </c>
      <c r="C30" s="164">
        <v>0.122</v>
      </c>
      <c r="D30" t="s">
        <v>417</v>
      </c>
      <c r="E30" t="s">
        <v>420</v>
      </c>
    </row>
    <row r="31" spans="1:8">
      <c r="A31" t="s">
        <v>210</v>
      </c>
      <c r="B31" t="s">
        <v>419</v>
      </c>
      <c r="C31" s="3"/>
    </row>
    <row r="32" spans="1:8">
      <c r="B32" t="s">
        <v>419</v>
      </c>
      <c r="C32" s="3"/>
    </row>
    <row r="34" spans="1:6">
      <c r="B34" t="s">
        <v>419</v>
      </c>
      <c r="C34" s="3"/>
    </row>
    <row r="35" spans="1:6">
      <c r="B35" t="s">
        <v>419</v>
      </c>
      <c r="C35" s="3"/>
    </row>
    <row r="36" spans="1:6">
      <c r="B36" t="s">
        <v>419</v>
      </c>
      <c r="C36" s="3"/>
    </row>
    <row r="37" spans="1:6">
      <c r="B37" t="s">
        <v>419</v>
      </c>
    </row>
    <row r="38" spans="1:6">
      <c r="A38" s="1" t="s">
        <v>144</v>
      </c>
      <c r="B38" s="1"/>
    </row>
    <row r="39" spans="1:6">
      <c r="A39" s="4" t="s">
        <v>132</v>
      </c>
      <c r="B39" s="4" t="s">
        <v>415</v>
      </c>
      <c r="C39" s="5" t="s">
        <v>416</v>
      </c>
      <c r="D39" s="4" t="s">
        <v>37</v>
      </c>
      <c r="E39" s="4" t="s">
        <v>38</v>
      </c>
    </row>
    <row r="40" spans="1:6">
      <c r="A40" t="s">
        <v>432</v>
      </c>
      <c r="B40" t="s">
        <v>419</v>
      </c>
      <c r="C40" s="87">
        <v>3.7400000000000003E-2</v>
      </c>
      <c r="D40" t="s">
        <v>417</v>
      </c>
      <c r="E40" t="s">
        <v>422</v>
      </c>
      <c r="F40" t="s">
        <v>433</v>
      </c>
    </row>
    <row r="41" spans="1:6">
      <c r="A41" t="s">
        <v>434</v>
      </c>
      <c r="C41" s="6"/>
      <c r="D41" t="s">
        <v>435</v>
      </c>
      <c r="E41" t="s">
        <v>426</v>
      </c>
      <c r="F41" s="61"/>
    </row>
    <row r="42" spans="1:6">
      <c r="A42" t="s">
        <v>436</v>
      </c>
      <c r="B42" t="s">
        <v>419</v>
      </c>
      <c r="C42" s="6"/>
      <c r="D42" t="s">
        <v>417</v>
      </c>
      <c r="E42" t="s">
        <v>426</v>
      </c>
    </row>
    <row r="43" spans="1:6">
      <c r="A43" t="s">
        <v>437</v>
      </c>
      <c r="C43" s="87"/>
      <c r="D43" t="s">
        <v>435</v>
      </c>
      <c r="E43" t="s">
        <v>426</v>
      </c>
    </row>
    <row r="44" spans="1:6">
      <c r="A44" t="s">
        <v>400</v>
      </c>
      <c r="C44" s="87"/>
      <c r="D44" t="s">
        <v>417</v>
      </c>
      <c r="E44" t="s">
        <v>422</v>
      </c>
    </row>
    <row r="45" spans="1:6">
      <c r="A45" t="s">
        <v>214</v>
      </c>
      <c r="B45" t="s">
        <v>419</v>
      </c>
      <c r="C45" s="6"/>
      <c r="D45" t="s">
        <v>417</v>
      </c>
      <c r="E45" t="s">
        <v>426</v>
      </c>
    </row>
    <row r="46" spans="1:6">
      <c r="A46" t="s">
        <v>438</v>
      </c>
      <c r="B46" t="s">
        <v>419</v>
      </c>
      <c r="C46" s="6"/>
      <c r="D46" t="s">
        <v>417</v>
      </c>
      <c r="E46" t="s">
        <v>422</v>
      </c>
    </row>
    <row r="49" spans="1:5">
      <c r="B49" t="s">
        <v>419</v>
      </c>
      <c r="C49" s="6"/>
    </row>
    <row r="50" spans="1:5">
      <c r="B50" t="s">
        <v>419</v>
      </c>
      <c r="C50" s="6"/>
    </row>
    <row r="51" spans="1:5">
      <c r="B51" t="s">
        <v>419</v>
      </c>
    </row>
    <row r="52" spans="1:5">
      <c r="A52" s="1" t="s">
        <v>146</v>
      </c>
      <c r="B52" s="1"/>
      <c r="C52" s="1"/>
      <c r="D52" s="1"/>
      <c r="E52" s="1"/>
    </row>
    <row r="53" spans="1:5">
      <c r="A53" s="4" t="s">
        <v>132</v>
      </c>
      <c r="B53" s="4" t="s">
        <v>415</v>
      </c>
      <c r="C53" s="5" t="s">
        <v>416</v>
      </c>
      <c r="D53" s="4" t="s">
        <v>37</v>
      </c>
      <c r="E53" s="4" t="s">
        <v>38</v>
      </c>
    </row>
    <row r="54" spans="1:5">
      <c r="A54" t="s">
        <v>216</v>
      </c>
      <c r="B54" t="s">
        <v>419</v>
      </c>
      <c r="C54" s="3"/>
      <c r="D54" t="s">
        <v>435</v>
      </c>
      <c r="E54" t="s">
        <v>426</v>
      </c>
    </row>
    <row r="55" spans="1:5">
      <c r="A55" t="s">
        <v>439</v>
      </c>
      <c r="C55" s="164"/>
      <c r="D55" t="s">
        <v>421</v>
      </c>
      <c r="E55" t="s">
        <v>426</v>
      </c>
    </row>
    <row r="56" spans="1:5">
      <c r="A56" t="s">
        <v>440</v>
      </c>
      <c r="C56" s="164"/>
      <c r="D56" t="s">
        <v>441</v>
      </c>
      <c r="E56" t="s">
        <v>426</v>
      </c>
    </row>
    <row r="57" spans="1:5">
      <c r="A57" t="s">
        <v>366</v>
      </c>
      <c r="B57" t="s">
        <v>442</v>
      </c>
      <c r="C57" s="163">
        <v>5.4199999999999998E-2</v>
      </c>
      <c r="D57" t="s">
        <v>421</v>
      </c>
      <c r="E57" t="s">
        <v>426</v>
      </c>
    </row>
    <row r="58" spans="1:5">
      <c r="A58" t="s">
        <v>368</v>
      </c>
      <c r="B58" t="s">
        <v>443</v>
      </c>
      <c r="C58" s="163">
        <v>7.0900000000000005E-2</v>
      </c>
      <c r="D58" t="s">
        <v>421</v>
      </c>
      <c r="E58" t="s">
        <v>426</v>
      </c>
    </row>
    <row r="59" spans="1:5">
      <c r="A59" t="s">
        <v>394</v>
      </c>
      <c r="B59" t="s">
        <v>221</v>
      </c>
      <c r="C59" s="163">
        <v>6.9800000000000001E-2</v>
      </c>
      <c r="D59" t="s">
        <v>421</v>
      </c>
      <c r="E59" t="s">
        <v>426</v>
      </c>
    </row>
    <row r="62" spans="1:5">
      <c r="B62" t="s">
        <v>419</v>
      </c>
      <c r="C62" s="3"/>
    </row>
    <row r="63" spans="1:5">
      <c r="B63" t="s">
        <v>419</v>
      </c>
    </row>
    <row r="64" spans="1:5">
      <c r="A64" s="1" t="s">
        <v>148</v>
      </c>
      <c r="B64" s="1"/>
    </row>
    <row r="65" spans="1:6">
      <c r="A65" s="4" t="s">
        <v>132</v>
      </c>
      <c r="B65" s="4" t="s">
        <v>415</v>
      </c>
      <c r="C65" s="5" t="s">
        <v>416</v>
      </c>
      <c r="D65" s="4" t="s">
        <v>37</v>
      </c>
      <c r="E65" s="4" t="s">
        <v>38</v>
      </c>
    </row>
    <row r="66" spans="1:6">
      <c r="A66" t="s">
        <v>444</v>
      </c>
      <c r="B66" t="s">
        <v>419</v>
      </c>
      <c r="C66" s="6"/>
      <c r="D66" t="s">
        <v>417</v>
      </c>
      <c r="E66" t="s">
        <v>418</v>
      </c>
    </row>
    <row r="67" spans="1:6">
      <c r="A67" t="s">
        <v>445</v>
      </c>
      <c r="B67" t="s">
        <v>419</v>
      </c>
      <c r="C67" s="87">
        <v>6.1499999999999999E-2</v>
      </c>
      <c r="D67" t="s">
        <v>424</v>
      </c>
      <c r="E67" t="s">
        <v>420</v>
      </c>
    </row>
    <row r="68" spans="1:6">
      <c r="A68" t="s">
        <v>338</v>
      </c>
      <c r="C68" s="163">
        <v>7.9000000000000008E-3</v>
      </c>
      <c r="D68" t="s">
        <v>421</v>
      </c>
      <c r="E68" t="s">
        <v>420</v>
      </c>
    </row>
    <row r="69" spans="1:6">
      <c r="A69" t="s">
        <v>446</v>
      </c>
      <c r="C69" s="6"/>
      <c r="D69" t="s">
        <v>421</v>
      </c>
      <c r="E69" t="s">
        <v>418</v>
      </c>
    </row>
    <row r="70" spans="1:6">
      <c r="A70" t="s">
        <v>447</v>
      </c>
      <c r="C70" s="6"/>
      <c r="D70" t="s">
        <v>421</v>
      </c>
      <c r="E70" t="s">
        <v>420</v>
      </c>
    </row>
    <row r="71" spans="1:6">
      <c r="A71" t="s">
        <v>448</v>
      </c>
      <c r="B71" t="s">
        <v>419</v>
      </c>
      <c r="C71" s="6"/>
      <c r="D71" t="s">
        <v>417</v>
      </c>
      <c r="E71" t="s">
        <v>449</v>
      </c>
    </row>
    <row r="72" spans="1:6">
      <c r="A72" t="s">
        <v>450</v>
      </c>
      <c r="C72" s="6">
        <v>0.04</v>
      </c>
      <c r="D72" t="s">
        <v>417</v>
      </c>
      <c r="E72" t="s">
        <v>418</v>
      </c>
      <c r="F72" s="61"/>
    </row>
    <row r="73" spans="1:6">
      <c r="A73" t="s">
        <v>122</v>
      </c>
      <c r="B73" t="s">
        <v>451</v>
      </c>
      <c r="C73" s="6"/>
      <c r="D73" t="s">
        <v>421</v>
      </c>
      <c r="E73" t="s">
        <v>420</v>
      </c>
    </row>
    <row r="74" spans="1:6">
      <c r="A74" t="s">
        <v>385</v>
      </c>
      <c r="C74" s="87">
        <v>0.05</v>
      </c>
      <c r="D74" t="s">
        <v>421</v>
      </c>
      <c r="E74" t="s">
        <v>420</v>
      </c>
    </row>
    <row r="75" spans="1:6">
      <c r="A75" t="s">
        <v>452</v>
      </c>
      <c r="B75" t="s">
        <v>419</v>
      </c>
      <c r="C75" s="6"/>
      <c r="D75" t="s">
        <v>453</v>
      </c>
      <c r="E75" t="s">
        <v>449</v>
      </c>
    </row>
    <row r="76" spans="1:6">
      <c r="A76" t="s">
        <v>123</v>
      </c>
      <c r="C76" s="6"/>
      <c r="D76" t="s">
        <v>421</v>
      </c>
      <c r="E76" t="s">
        <v>422</v>
      </c>
    </row>
    <row r="77" spans="1:6">
      <c r="A77" s="61"/>
      <c r="B77" s="61"/>
      <c r="C77" s="87"/>
      <c r="D77" s="61"/>
      <c r="E77" s="61"/>
      <c r="F77" s="61"/>
    </row>
    <row r="78" spans="1:6">
      <c r="A78" s="61"/>
      <c r="B78" s="61"/>
      <c r="C78" s="87"/>
      <c r="D78" s="61"/>
      <c r="E78" s="61"/>
    </row>
    <row r="79" spans="1:6">
      <c r="A79" s="61"/>
      <c r="B79" s="61"/>
      <c r="C79" s="87"/>
      <c r="D79" s="61"/>
      <c r="E79" s="61"/>
    </row>
    <row r="80" spans="1:6">
      <c r="A80" s="61"/>
      <c r="B80" s="61"/>
      <c r="C80" s="87"/>
      <c r="D80" s="61"/>
      <c r="E80" s="61"/>
    </row>
    <row r="81" spans="1:6">
      <c r="A81" s="61"/>
      <c r="B81" s="61"/>
      <c r="C81" s="87"/>
      <c r="D81" s="61"/>
      <c r="E81" s="61"/>
    </row>
    <row r="83" spans="1:6">
      <c r="C83" s="6"/>
    </row>
    <row r="85" spans="1:6">
      <c r="A85" s="1" t="s">
        <v>150</v>
      </c>
    </row>
    <row r="86" spans="1:6">
      <c r="A86" s="4" t="s">
        <v>132</v>
      </c>
      <c r="B86" s="4" t="s">
        <v>415</v>
      </c>
      <c r="C86" s="5" t="s">
        <v>416</v>
      </c>
      <c r="D86" s="4" t="s">
        <v>37</v>
      </c>
      <c r="E86" s="4" t="s">
        <v>38</v>
      </c>
    </row>
    <row r="87" spans="1:6">
      <c r="A87" t="s">
        <v>333</v>
      </c>
      <c r="C87" s="87">
        <v>0.06</v>
      </c>
      <c r="D87" t="s">
        <v>417</v>
      </c>
      <c r="E87" t="s">
        <v>418</v>
      </c>
    </row>
    <row r="88" spans="1:6">
      <c r="A88" t="s">
        <v>346</v>
      </c>
      <c r="C88" s="163">
        <v>5.9400000000000001E-2</v>
      </c>
      <c r="D88" t="s">
        <v>421</v>
      </c>
      <c r="E88" t="s">
        <v>449</v>
      </c>
    </row>
    <row r="89" spans="1:6">
      <c r="A89" t="s">
        <v>352</v>
      </c>
      <c r="C89" s="163">
        <v>7.0099999999999996E-2</v>
      </c>
      <c r="D89" t="s">
        <v>421</v>
      </c>
      <c r="E89" t="s">
        <v>449</v>
      </c>
    </row>
    <row r="90" spans="1:6">
      <c r="A90" t="s">
        <v>376</v>
      </c>
      <c r="C90" s="163">
        <v>9.4799999999999995E-2</v>
      </c>
      <c r="D90" t="s">
        <v>417</v>
      </c>
      <c r="E90" t="s">
        <v>420</v>
      </c>
    </row>
    <row r="91" spans="1:6">
      <c r="A91" t="s">
        <v>392</v>
      </c>
      <c r="C91" s="163">
        <v>6.9800000000000001E-2</v>
      </c>
      <c r="D91" t="s">
        <v>421</v>
      </c>
      <c r="E91" t="s">
        <v>449</v>
      </c>
    </row>
    <row r="92" spans="1:6">
      <c r="A92" t="s">
        <v>396</v>
      </c>
      <c r="C92" s="163">
        <v>6.5199999999999994E-2</v>
      </c>
      <c r="D92" t="s">
        <v>421</v>
      </c>
      <c r="E92" t="s">
        <v>449</v>
      </c>
    </row>
    <row r="93" spans="1:6">
      <c r="A93" t="s">
        <v>398</v>
      </c>
      <c r="C93" s="163">
        <v>7.2800000000000004E-2</v>
      </c>
      <c r="D93" t="s">
        <v>421</v>
      </c>
      <c r="E93" t="s">
        <v>449</v>
      </c>
      <c r="F93" s="61"/>
    </row>
    <row r="94" spans="1:6">
      <c r="A94" t="s">
        <v>113</v>
      </c>
      <c r="C94" s="6"/>
      <c r="D94" t="s">
        <v>454</v>
      </c>
      <c r="E94" t="s">
        <v>455</v>
      </c>
    </row>
    <row r="98" spans="1:5">
      <c r="A98" s="1" t="s">
        <v>152</v>
      </c>
      <c r="B98" s="1"/>
    </row>
    <row r="99" spans="1:5">
      <c r="A99" s="4" t="s">
        <v>132</v>
      </c>
      <c r="B99" s="4" t="s">
        <v>415</v>
      </c>
      <c r="C99" s="5" t="s">
        <v>416</v>
      </c>
      <c r="D99" s="4" t="s">
        <v>37</v>
      </c>
      <c r="E99" s="4" t="s">
        <v>38</v>
      </c>
    </row>
    <row r="100" spans="1:5">
      <c r="A100" t="s">
        <v>456</v>
      </c>
      <c r="C100" s="6"/>
      <c r="D100" t="s">
        <v>424</v>
      </c>
      <c r="E100" t="s">
        <v>426</v>
      </c>
    </row>
    <row r="101" spans="1:5">
      <c r="A101" t="s">
        <v>316</v>
      </c>
      <c r="C101" s="6"/>
      <c r="D101" t="s">
        <v>421</v>
      </c>
      <c r="E101" t="s">
        <v>426</v>
      </c>
    </row>
    <row r="102" spans="1:5">
      <c r="A102" t="s">
        <v>318</v>
      </c>
      <c r="C102" s="6"/>
      <c r="D102" t="s">
        <v>421</v>
      </c>
      <c r="E102" t="s">
        <v>426</v>
      </c>
    </row>
    <row r="103" spans="1:5">
      <c r="A103" t="s">
        <v>322</v>
      </c>
      <c r="B103" t="s">
        <v>236</v>
      </c>
      <c r="C103" s="163">
        <v>9.5699999999999993E-2</v>
      </c>
      <c r="D103" t="s">
        <v>421</v>
      </c>
      <c r="E103" t="s">
        <v>426</v>
      </c>
    </row>
    <row r="104" spans="1:5">
      <c r="A104" t="s">
        <v>124</v>
      </c>
      <c r="C104" s="163"/>
      <c r="D104" t="s">
        <v>421</v>
      </c>
      <c r="E104" t="s">
        <v>426</v>
      </c>
    </row>
    <row r="105" spans="1:5">
      <c r="A105" t="s">
        <v>457</v>
      </c>
      <c r="C105" s="163"/>
      <c r="D105" t="s">
        <v>421</v>
      </c>
      <c r="E105" t="s">
        <v>426</v>
      </c>
    </row>
    <row r="106" spans="1:5">
      <c r="A106" t="s">
        <v>458</v>
      </c>
      <c r="C106" s="163"/>
      <c r="D106" t="s">
        <v>421</v>
      </c>
      <c r="E106" t="s">
        <v>426</v>
      </c>
    </row>
    <row r="107" spans="1:5">
      <c r="A107" t="s">
        <v>339</v>
      </c>
      <c r="C107" s="87"/>
      <c r="D107" t="s">
        <v>421</v>
      </c>
      <c r="E107" t="s">
        <v>426</v>
      </c>
    </row>
    <row r="108" spans="1:5">
      <c r="A108" t="s">
        <v>459</v>
      </c>
      <c r="C108" s="6"/>
      <c r="D108" t="s">
        <v>454</v>
      </c>
      <c r="E108" t="s">
        <v>426</v>
      </c>
    </row>
    <row r="109" spans="1:5">
      <c r="A109" t="s">
        <v>347</v>
      </c>
      <c r="C109" s="6"/>
      <c r="D109" t="s">
        <v>454</v>
      </c>
      <c r="E109" t="s">
        <v>426</v>
      </c>
    </row>
    <row r="110" spans="1:5">
      <c r="A110" t="s">
        <v>349</v>
      </c>
      <c r="C110" s="6"/>
      <c r="D110" t="s">
        <v>421</v>
      </c>
      <c r="E110" t="s">
        <v>426</v>
      </c>
    </row>
    <row r="111" spans="1:5">
      <c r="A111" t="s">
        <v>358</v>
      </c>
      <c r="B111" t="s">
        <v>242</v>
      </c>
      <c r="C111" s="163">
        <v>0.13389999999999999</v>
      </c>
      <c r="D111" t="s">
        <v>421</v>
      </c>
      <c r="E111" t="s">
        <v>426</v>
      </c>
    </row>
    <row r="112" spans="1:5">
      <c r="A112" t="s">
        <v>460</v>
      </c>
      <c r="D112" t="s">
        <v>453</v>
      </c>
      <c r="E112" t="s">
        <v>422</v>
      </c>
    </row>
    <row r="113" spans="1:6">
      <c r="A113" t="s">
        <v>359</v>
      </c>
      <c r="C113" s="6">
        <v>6.4299999999999996E-2</v>
      </c>
      <c r="D113" t="s">
        <v>421</v>
      </c>
      <c r="E113" t="s">
        <v>426</v>
      </c>
    </row>
    <row r="114" spans="1:6">
      <c r="A114" t="s">
        <v>355</v>
      </c>
      <c r="C114" s="6">
        <v>2.3099999999999999E-2</v>
      </c>
      <c r="D114" t="s">
        <v>421</v>
      </c>
      <c r="E114" t="s">
        <v>426</v>
      </c>
    </row>
    <row r="115" spans="1:6">
      <c r="A115" t="s">
        <v>125</v>
      </c>
      <c r="C115" s="163">
        <v>9.5699999999999993E-2</v>
      </c>
      <c r="D115" t="s">
        <v>421</v>
      </c>
      <c r="E115" t="s">
        <v>426</v>
      </c>
    </row>
    <row r="116" spans="1:6">
      <c r="A116" t="s">
        <v>461</v>
      </c>
      <c r="D116" t="s">
        <v>421</v>
      </c>
      <c r="E116" t="s">
        <v>426</v>
      </c>
    </row>
    <row r="117" spans="1:6">
      <c r="A117" t="s">
        <v>462</v>
      </c>
      <c r="C117" s="6"/>
      <c r="D117" t="s">
        <v>421</v>
      </c>
      <c r="E117" t="s">
        <v>426</v>
      </c>
    </row>
    <row r="118" spans="1:6">
      <c r="A118" t="s">
        <v>463</v>
      </c>
      <c r="C118" s="6"/>
      <c r="D118" t="s">
        <v>421</v>
      </c>
      <c r="E118" t="s">
        <v>426</v>
      </c>
    </row>
    <row r="119" spans="1:6">
      <c r="A119" t="s">
        <v>464</v>
      </c>
      <c r="C119" s="6"/>
      <c r="D119" t="s">
        <v>421</v>
      </c>
      <c r="E119" t="s">
        <v>426</v>
      </c>
    </row>
    <row r="120" spans="1:6">
      <c r="A120" t="s">
        <v>465</v>
      </c>
      <c r="C120" s="163"/>
      <c r="D120" t="s">
        <v>421</v>
      </c>
      <c r="E120" t="s">
        <v>426</v>
      </c>
    </row>
    <row r="121" spans="1:6">
      <c r="A121" t="s">
        <v>364</v>
      </c>
      <c r="B121" t="s">
        <v>466</v>
      </c>
      <c r="C121" s="163"/>
      <c r="D121" t="s">
        <v>421</v>
      </c>
      <c r="E121" t="s">
        <v>426</v>
      </c>
    </row>
    <row r="122" spans="1:6">
      <c r="A122" t="s">
        <v>370</v>
      </c>
      <c r="C122" s="163">
        <v>9.1000000000000004E-3</v>
      </c>
      <c r="D122" t="s">
        <v>421</v>
      </c>
      <c r="E122" t="s">
        <v>426</v>
      </c>
      <c r="F122" t="s">
        <v>467</v>
      </c>
    </row>
    <row r="123" spans="1:6">
      <c r="A123" t="s">
        <v>468</v>
      </c>
      <c r="C123" s="163"/>
      <c r="D123" t="s">
        <v>421</v>
      </c>
      <c r="E123" t="s">
        <v>426</v>
      </c>
    </row>
    <row r="124" spans="1:6">
      <c r="A124" t="s">
        <v>372</v>
      </c>
      <c r="C124" s="87">
        <v>7.0000000000000007E-2</v>
      </c>
      <c r="D124" t="s">
        <v>421</v>
      </c>
      <c r="E124" t="s">
        <v>418</v>
      </c>
    </row>
    <row r="125" spans="1:6">
      <c r="A125" t="s">
        <v>126</v>
      </c>
      <c r="C125" s="87"/>
      <c r="D125" t="s">
        <v>421</v>
      </c>
      <c r="E125" t="s">
        <v>426</v>
      </c>
    </row>
    <row r="126" spans="1:6">
      <c r="A126" t="s">
        <v>469</v>
      </c>
      <c r="C126" s="163">
        <v>6.4000000000000001E-2</v>
      </c>
      <c r="D126" t="s">
        <v>421</v>
      </c>
      <c r="E126" t="s">
        <v>426</v>
      </c>
    </row>
    <row r="127" spans="1:6">
      <c r="A127" t="s">
        <v>470</v>
      </c>
      <c r="C127" s="163"/>
      <c r="D127" t="s">
        <v>421</v>
      </c>
      <c r="E127" t="s">
        <v>426</v>
      </c>
    </row>
    <row r="128" spans="1:6">
      <c r="A128" t="s">
        <v>378</v>
      </c>
      <c r="C128" s="163">
        <v>0.1137</v>
      </c>
      <c r="D128" t="s">
        <v>421</v>
      </c>
      <c r="E128" t="s">
        <v>426</v>
      </c>
    </row>
    <row r="129" spans="1:5">
      <c r="A129" t="s">
        <v>127</v>
      </c>
      <c r="C129" s="163"/>
      <c r="D129" t="s">
        <v>421</v>
      </c>
      <c r="E129" t="s">
        <v>426</v>
      </c>
    </row>
    <row r="130" spans="1:5">
      <c r="A130" t="s">
        <v>471</v>
      </c>
      <c r="C130" s="163"/>
      <c r="D130" t="s">
        <v>421</v>
      </c>
      <c r="E130" t="s">
        <v>426</v>
      </c>
    </row>
    <row r="131" spans="1:5">
      <c r="A131" t="s">
        <v>329</v>
      </c>
      <c r="C131" s="163">
        <v>7.1999999999999995E-2</v>
      </c>
      <c r="D131" t="s">
        <v>421</v>
      </c>
      <c r="E131" t="s">
        <v>426</v>
      </c>
    </row>
    <row r="132" spans="1:5">
      <c r="A132" t="s">
        <v>128</v>
      </c>
      <c r="B132" t="s">
        <v>258</v>
      </c>
      <c r="C132" s="163"/>
      <c r="D132" t="s">
        <v>421</v>
      </c>
      <c r="E132" t="s">
        <v>426</v>
      </c>
    </row>
    <row r="133" spans="1:5">
      <c r="A133" t="s">
        <v>389</v>
      </c>
      <c r="C133" s="163"/>
      <c r="D133" t="s">
        <v>421</v>
      </c>
      <c r="E133" t="s">
        <v>426</v>
      </c>
    </row>
    <row r="134" spans="1:5">
      <c r="A134" t="s">
        <v>472</v>
      </c>
      <c r="C134" s="87">
        <v>2.8000000000000001E-2</v>
      </c>
      <c r="D134" t="s">
        <v>421</v>
      </c>
      <c r="E134" t="s">
        <v>426</v>
      </c>
    </row>
    <row r="135" spans="1:5">
      <c r="A135" t="s">
        <v>473</v>
      </c>
      <c r="C135" s="6"/>
      <c r="D135" t="s">
        <v>421</v>
      </c>
      <c r="E135" t="s">
        <v>426</v>
      </c>
    </row>
    <row r="136" spans="1:5">
      <c r="A136" t="s">
        <v>406</v>
      </c>
      <c r="C136" s="6">
        <v>4.9799999999999997E-2</v>
      </c>
      <c r="D136" t="s">
        <v>421</v>
      </c>
      <c r="E136" t="s">
        <v>426</v>
      </c>
    </row>
    <row r="137" spans="1:5">
      <c r="A137" t="s">
        <v>404</v>
      </c>
      <c r="B137" t="s">
        <v>419</v>
      </c>
      <c r="C137" s="6"/>
      <c r="D137" t="s">
        <v>453</v>
      </c>
      <c r="E137" t="s">
        <v>422</v>
      </c>
    </row>
    <row r="138" spans="1:5">
      <c r="A138" t="s">
        <v>474</v>
      </c>
      <c r="C138" s="6"/>
      <c r="D138" t="s">
        <v>421</v>
      </c>
      <c r="E138" t="s">
        <v>426</v>
      </c>
    </row>
    <row r="139" spans="1:5">
      <c r="A139" t="s">
        <v>412</v>
      </c>
      <c r="C139" s="6"/>
      <c r="D139" t="s">
        <v>421</v>
      </c>
      <c r="E139" t="s">
        <v>426</v>
      </c>
    </row>
    <row r="140" spans="1:5">
      <c r="A140" t="s">
        <v>413</v>
      </c>
      <c r="C140" s="6">
        <v>9.1999999999999998E-3</v>
      </c>
      <c r="D140" t="s">
        <v>421</v>
      </c>
      <c r="E140" t="s">
        <v>426</v>
      </c>
    </row>
    <row r="141" spans="1:5">
      <c r="A141" t="s">
        <v>129</v>
      </c>
      <c r="C141" s="6"/>
      <c r="D141" t="s">
        <v>421</v>
      </c>
      <c r="E141" t="s">
        <v>426</v>
      </c>
    </row>
    <row r="143" spans="1:5">
      <c r="A143" s="1" t="s">
        <v>727</v>
      </c>
    </row>
    <row r="144" spans="1:5">
      <c r="A144" s="4" t="s">
        <v>132</v>
      </c>
      <c r="B144" s="4" t="s">
        <v>415</v>
      </c>
      <c r="C144" s="5" t="s">
        <v>416</v>
      </c>
      <c r="D144" s="4" t="s">
        <v>37</v>
      </c>
      <c r="E144" s="4" t="s">
        <v>38</v>
      </c>
    </row>
    <row r="145" spans="1:5">
      <c r="A145" t="s">
        <v>313</v>
      </c>
      <c r="C145" s="3">
        <v>5.1400000000000001E-2</v>
      </c>
      <c r="D145" t="s">
        <v>421</v>
      </c>
      <c r="E145" t="s">
        <v>449</v>
      </c>
    </row>
  </sheetData>
  <sortState xmlns:xlrd2="http://schemas.microsoft.com/office/spreadsheetml/2017/richdata2" ref="A99:E140">
    <sortCondition ref="A99"/>
  </sortState>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ECF25-5D17-4297-8BA0-A2F2E5594520}">
  <sheetPr codeName="Sheet5">
    <pageSetUpPr fitToPage="1"/>
  </sheetPr>
  <dimension ref="A1:E54"/>
  <sheetViews>
    <sheetView showGridLines="0" zoomScaleNormal="100" workbookViewId="0">
      <selection activeCell="B29" sqref="B29:E29"/>
    </sheetView>
  </sheetViews>
  <sheetFormatPr baseColWidth="10" defaultColWidth="8.83203125" defaultRowHeight="16"/>
  <cols>
    <col min="1" max="1" width="39.83203125" style="181" bestFit="1" customWidth="1"/>
    <col min="2" max="2" width="11.5" style="181" bestFit="1" customWidth="1"/>
    <col min="3" max="3" width="5.6640625" style="181" customWidth="1"/>
    <col min="4" max="4" width="20.6640625" style="181" bestFit="1" customWidth="1"/>
    <col min="5" max="5" width="8.5" style="181" bestFit="1" customWidth="1"/>
    <col min="6" max="7" width="34.33203125" style="181" customWidth="1"/>
    <col min="8" max="16384" width="8.83203125" style="181"/>
  </cols>
  <sheetData>
    <row r="1" spans="1:5">
      <c r="A1" s="180" t="s">
        <v>475</v>
      </c>
      <c r="B1" s="294"/>
      <c r="C1" s="294"/>
      <c r="D1" s="294"/>
      <c r="E1" s="294"/>
    </row>
    <row r="3" spans="1:5">
      <c r="A3" s="294" t="s">
        <v>476</v>
      </c>
      <c r="B3" s="295" t="s">
        <v>2</v>
      </c>
      <c r="C3" s="294"/>
      <c r="D3" s="294" t="s">
        <v>63</v>
      </c>
      <c r="E3" s="295" t="s">
        <v>64</v>
      </c>
    </row>
    <row r="5" spans="1:5">
      <c r="A5" s="294" t="s">
        <v>477</v>
      </c>
      <c r="B5" s="295" t="s">
        <v>4</v>
      </c>
      <c r="C5" s="294"/>
      <c r="D5" s="294" t="s">
        <v>65</v>
      </c>
      <c r="E5" s="295" t="s">
        <v>66</v>
      </c>
    </row>
    <row r="7" spans="1:5">
      <c r="A7" s="294" t="s">
        <v>478</v>
      </c>
      <c r="B7" s="295"/>
      <c r="C7" s="294"/>
      <c r="D7" s="294" t="s">
        <v>478</v>
      </c>
      <c r="E7" s="295"/>
    </row>
    <row r="9" spans="1:5">
      <c r="A9" s="294" t="s">
        <v>479</v>
      </c>
      <c r="B9" s="295" t="s">
        <v>480</v>
      </c>
      <c r="C9" s="294"/>
      <c r="D9" s="294"/>
      <c r="E9" s="294"/>
    </row>
    <row r="11" spans="1:5">
      <c r="A11" s="294" t="s">
        <v>481</v>
      </c>
      <c r="B11" s="295" t="s">
        <v>480</v>
      </c>
      <c r="C11" s="294"/>
      <c r="D11" s="294"/>
      <c r="E11" s="294"/>
    </row>
    <row r="13" spans="1:5">
      <c r="A13" s="294" t="s">
        <v>482</v>
      </c>
      <c r="B13" s="295" t="s">
        <v>480</v>
      </c>
      <c r="C13" s="294"/>
      <c r="D13" s="294"/>
      <c r="E13" s="294"/>
    </row>
    <row r="15" spans="1:5">
      <c r="A15" s="294" t="s">
        <v>76</v>
      </c>
      <c r="B15" s="296" t="s">
        <v>480</v>
      </c>
      <c r="C15" s="294"/>
      <c r="D15" s="294"/>
      <c r="E15" s="294"/>
    </row>
    <row r="17" spans="1:5">
      <c r="A17" s="294" t="s">
        <v>483</v>
      </c>
      <c r="B17" s="295"/>
      <c r="C17" s="294"/>
      <c r="D17" s="294" t="s">
        <v>484</v>
      </c>
      <c r="E17" s="295"/>
    </row>
    <row r="19" spans="1:5">
      <c r="A19" s="294" t="s">
        <v>485</v>
      </c>
      <c r="B19" s="297" t="s">
        <v>480</v>
      </c>
      <c r="C19" s="294"/>
      <c r="D19" s="294"/>
      <c r="E19" s="294"/>
    </row>
    <row r="20" spans="1:5">
      <c r="A20" s="294"/>
      <c r="B20" s="298"/>
      <c r="C20" s="294"/>
      <c r="D20" s="294"/>
      <c r="E20" s="294"/>
    </row>
    <row r="21" spans="1:5">
      <c r="A21" s="294" t="s">
        <v>486</v>
      </c>
      <c r="B21" s="297" t="s">
        <v>480</v>
      </c>
      <c r="C21" s="294"/>
      <c r="D21" s="294"/>
      <c r="E21" s="294"/>
    </row>
    <row r="23" spans="1:5">
      <c r="A23" s="294" t="s">
        <v>487</v>
      </c>
      <c r="B23" s="295"/>
      <c r="C23" s="294"/>
      <c r="D23" s="294"/>
      <c r="E23" s="294"/>
    </row>
    <row r="25" spans="1:5">
      <c r="A25" s="294" t="s">
        <v>488</v>
      </c>
      <c r="B25" s="364">
        <v>1</v>
      </c>
      <c r="C25" s="365"/>
      <c r="D25" s="365"/>
      <c r="E25" s="366"/>
    </row>
    <row r="26" spans="1:5">
      <c r="A26" s="294"/>
      <c r="B26" s="299"/>
      <c r="C26" s="294"/>
      <c r="D26" s="294"/>
      <c r="E26" s="294"/>
    </row>
    <row r="27" spans="1:5">
      <c r="A27" s="294"/>
      <c r="B27" s="364">
        <v>2</v>
      </c>
      <c r="C27" s="365"/>
      <c r="D27" s="365"/>
      <c r="E27" s="366"/>
    </row>
    <row r="28" spans="1:5">
      <c r="A28" s="294"/>
      <c r="B28" s="299"/>
      <c r="C28" s="294"/>
      <c r="D28" s="294"/>
      <c r="E28" s="294"/>
    </row>
    <row r="29" spans="1:5">
      <c r="A29" s="294"/>
      <c r="B29" s="364">
        <v>3</v>
      </c>
      <c r="C29" s="365"/>
      <c r="D29" s="365"/>
      <c r="E29" s="366"/>
    </row>
    <row r="30" spans="1:5">
      <c r="A30" s="294"/>
      <c r="B30" s="299"/>
      <c r="C30" s="294"/>
      <c r="D30" s="294"/>
      <c r="E30" s="294"/>
    </row>
    <row r="31" spans="1:5">
      <c r="A31" s="294"/>
      <c r="B31" s="364">
        <v>4</v>
      </c>
      <c r="C31" s="365"/>
      <c r="D31" s="365"/>
      <c r="E31" s="366"/>
    </row>
    <row r="32" spans="1:5">
      <c r="A32" s="294"/>
      <c r="B32" s="299"/>
      <c r="C32" s="294"/>
      <c r="D32" s="294"/>
      <c r="E32" s="294"/>
    </row>
    <row r="33" spans="1:5">
      <c r="A33" s="294"/>
      <c r="B33" s="364">
        <v>5</v>
      </c>
      <c r="C33" s="365"/>
      <c r="D33" s="365"/>
      <c r="E33" s="366"/>
    </row>
    <row r="34" spans="1:5">
      <c r="A34" s="294"/>
      <c r="B34" s="299"/>
      <c r="C34" s="294"/>
      <c r="D34" s="294"/>
      <c r="E34" s="294"/>
    </row>
    <row r="35" spans="1:5">
      <c r="A35" s="294"/>
      <c r="B35" s="364">
        <v>6</v>
      </c>
      <c r="C35" s="365"/>
      <c r="D35" s="365"/>
      <c r="E35" s="366"/>
    </row>
    <row r="36" spans="1:5">
      <c r="A36" s="294"/>
      <c r="B36" s="299"/>
      <c r="C36" s="294"/>
      <c r="D36" s="294"/>
      <c r="E36" s="294"/>
    </row>
    <row r="37" spans="1:5">
      <c r="A37" s="294" t="s">
        <v>489</v>
      </c>
      <c r="B37" s="295"/>
      <c r="C37" s="294"/>
      <c r="D37" s="294"/>
      <c r="E37" s="294"/>
    </row>
    <row r="39" spans="1:5">
      <c r="A39" s="294" t="s">
        <v>490</v>
      </c>
      <c r="B39" s="294"/>
      <c r="C39" s="294"/>
      <c r="D39" s="294"/>
      <c r="E39" s="294"/>
    </row>
    <row r="40" spans="1:5">
      <c r="A40" s="294" t="s">
        <v>491</v>
      </c>
      <c r="B40" s="294"/>
      <c r="C40" s="294"/>
      <c r="D40" s="294"/>
      <c r="E40" s="294"/>
    </row>
    <row r="41" spans="1:5">
      <c r="A41" s="294" t="s">
        <v>491</v>
      </c>
      <c r="B41" s="294"/>
      <c r="C41" s="294"/>
      <c r="D41" s="294"/>
      <c r="E41" s="294"/>
    </row>
    <row r="42" spans="1:5">
      <c r="A42" s="294" t="s">
        <v>491</v>
      </c>
      <c r="B42" s="294"/>
      <c r="C42" s="294"/>
      <c r="D42" s="294"/>
      <c r="E42" s="294"/>
    </row>
    <row r="43" spans="1:5">
      <c r="A43" s="294" t="s">
        <v>491</v>
      </c>
      <c r="B43" s="294"/>
      <c r="C43" s="294"/>
      <c r="D43" s="294"/>
      <c r="E43" s="294"/>
    </row>
    <row r="44" spans="1:5">
      <c r="A44" s="294" t="s">
        <v>491</v>
      </c>
      <c r="B44" s="294"/>
      <c r="C44" s="294"/>
      <c r="D44" s="294"/>
      <c r="E44" s="294"/>
    </row>
    <row r="45" spans="1:5">
      <c r="A45" s="294" t="s">
        <v>491</v>
      </c>
      <c r="B45" s="294"/>
      <c r="C45" s="294"/>
      <c r="D45" s="294"/>
      <c r="E45" s="294"/>
    </row>
    <row r="46" spans="1:5">
      <c r="A46" s="294" t="s">
        <v>491</v>
      </c>
      <c r="B46" s="294"/>
      <c r="C46" s="294"/>
      <c r="D46" s="294"/>
      <c r="E46" s="294"/>
    </row>
    <row r="47" spans="1:5">
      <c r="A47" s="294" t="s">
        <v>491</v>
      </c>
      <c r="B47" s="294"/>
      <c r="C47" s="294"/>
      <c r="D47" s="294"/>
      <c r="E47" s="294"/>
    </row>
    <row r="48" spans="1:5">
      <c r="A48" s="294" t="s">
        <v>491</v>
      </c>
      <c r="B48" s="294"/>
      <c r="C48" s="294"/>
      <c r="D48" s="294"/>
      <c r="E48" s="294"/>
    </row>
    <row r="49" spans="1:1">
      <c r="A49" s="294" t="s">
        <v>491</v>
      </c>
    </row>
    <row r="50" spans="1:1">
      <c r="A50" s="294" t="s">
        <v>491</v>
      </c>
    </row>
    <row r="51" spans="1:1">
      <c r="A51" s="294" t="s">
        <v>491</v>
      </c>
    </row>
    <row r="52" spans="1:1">
      <c r="A52" s="294" t="s">
        <v>491</v>
      </c>
    </row>
    <row r="53" spans="1:1">
      <c r="A53" s="294" t="s">
        <v>491</v>
      </c>
    </row>
    <row r="54" spans="1:1">
      <c r="A54" s="294" t="s">
        <v>491</v>
      </c>
    </row>
  </sheetData>
  <protectedRanges>
    <protectedRange sqref="B3 E3 B5 E5 B7 E7 B9 B11 B13 B15 B17 E17 B19 B21 B23 B25:E25 B27:E27 B29:E29 B31:E31 B33:E33 B35:E35 B37" name="Range1"/>
  </protectedRanges>
  <mergeCells count="6">
    <mergeCell ref="B25:E25"/>
    <mergeCell ref="B35:E35"/>
    <mergeCell ref="B33:E33"/>
    <mergeCell ref="B31:E31"/>
    <mergeCell ref="B29:E29"/>
    <mergeCell ref="B27:E27"/>
  </mergeCells>
  <pageMargins left="0.7" right="0.7" top="2" bottom="0.75" header="0.3" footer="0.3"/>
  <pageSetup scale="90" orientation="portrait" r:id="rId1"/>
  <headerFooter>
    <oddHeader>&amp;C&amp;G</oddHeader>
  </headerFooter>
  <legacyDrawingHF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E51D7-576C-43A6-9C84-D2EC9E7D1282}">
  <sheetPr codeName="Sheet4" filterMode="1"/>
  <dimension ref="A1:J73"/>
  <sheetViews>
    <sheetView workbookViewId="0">
      <selection activeCell="H32" sqref="H32"/>
    </sheetView>
  </sheetViews>
  <sheetFormatPr baseColWidth="10" defaultColWidth="8.83203125" defaultRowHeight="15"/>
  <cols>
    <col min="1" max="1" width="46.33203125" bestFit="1" customWidth="1"/>
    <col min="2" max="2" width="9" bestFit="1" customWidth="1"/>
    <col min="3" max="3" width="8.83203125" style="50"/>
    <col min="4" max="4" width="10.33203125" bestFit="1" customWidth="1"/>
    <col min="5" max="5" width="8.83203125" hidden="1" customWidth="1"/>
    <col min="7" max="7" width="24" bestFit="1" customWidth="1"/>
  </cols>
  <sheetData>
    <row r="1" spans="1:10">
      <c r="A1" s="1" t="s">
        <v>492</v>
      </c>
      <c r="B1">
        <f>COUNTIF(C11:C69,"OT")</f>
        <v>0</v>
      </c>
    </row>
    <row r="2" spans="1:10">
      <c r="A2" s="1" t="s">
        <v>493</v>
      </c>
      <c r="B2" s="51">
        <f>SUMIF(C11:C68,"=OT",B11:B68)</f>
        <v>0</v>
      </c>
      <c r="G2" t="s">
        <v>494</v>
      </c>
      <c r="H2" s="51">
        <f>B2</f>
        <v>0</v>
      </c>
      <c r="I2" s="52" t="e">
        <f>H2/B6</f>
        <v>#DIV/0!</v>
      </c>
    </row>
    <row r="3" spans="1:10">
      <c r="A3" s="1"/>
      <c r="B3" s="51"/>
      <c r="G3" t="s">
        <v>495</v>
      </c>
      <c r="H3" s="53">
        <v>150000</v>
      </c>
      <c r="I3" s="50" t="s">
        <v>496</v>
      </c>
      <c r="J3" s="61" t="s">
        <v>497</v>
      </c>
    </row>
    <row r="4" spans="1:10">
      <c r="A4" s="1" t="s">
        <v>498</v>
      </c>
      <c r="B4" s="51">
        <f>COUNTIF(C11:C69,AND("&lt;&gt;OT","&lt;&gt;0"))</f>
        <v>0</v>
      </c>
      <c r="G4" t="s">
        <v>499</v>
      </c>
      <c r="H4" s="51">
        <f>H2-H3</f>
        <v>-150000</v>
      </c>
      <c r="I4" s="52">
        <f>H4/(B6-H3)</f>
        <v>1</v>
      </c>
    </row>
    <row r="5" spans="1:10">
      <c r="A5" s="1" t="s">
        <v>500</v>
      </c>
      <c r="B5" s="51">
        <f>B6-H3</f>
        <v>-150000</v>
      </c>
    </row>
    <row r="6" spans="1:10">
      <c r="A6" s="1" t="s">
        <v>501</v>
      </c>
      <c r="B6" s="54">
        <f>'Old Investment Proposal'!B92</f>
        <v>0</v>
      </c>
    </row>
    <row r="7" spans="1:10">
      <c r="B7" s="51"/>
    </row>
    <row r="9" spans="1:10">
      <c r="A9" s="58" t="s">
        <v>87</v>
      </c>
      <c r="B9" s="60" t="s">
        <v>34</v>
      </c>
      <c r="C9" s="59" t="s">
        <v>502</v>
      </c>
      <c r="D9" s="58" t="s">
        <v>503</v>
      </c>
      <c r="E9" s="59" t="s">
        <v>504</v>
      </c>
    </row>
    <row r="10" spans="1:10">
      <c r="A10" t="s">
        <v>505</v>
      </c>
      <c r="B10" s="51">
        <f>H4</f>
        <v>-150000</v>
      </c>
      <c r="C10" s="50" t="s">
        <v>419</v>
      </c>
      <c r="D10" s="6">
        <f>B10/B5</f>
        <v>1</v>
      </c>
      <c r="E10">
        <v>1</v>
      </c>
    </row>
    <row r="11" spans="1:10">
      <c r="A11" t="str">
        <f>IF('Old Investment Proposal'!A16&lt;&gt;0,'Old Investment Proposal'!A16,"")</f>
        <v/>
      </c>
      <c r="B11" s="51" t="str">
        <f>IF('Old Investment Proposal'!B16&lt;&gt;0,'Old Investment Proposal'!B16,"")</f>
        <v/>
      </c>
      <c r="C11" s="50">
        <f>IFERROR(VLOOKUP(A11,'Asset Class Tables and Dropdown'!$A$4:$E$119,2,FALSE),0)</f>
        <v>0</v>
      </c>
      <c r="D11" s="6">
        <f>IFERROR(IF(AND(C11&lt;&gt;"OT",C11&lt;&gt;0),B11/$B$5,0),0)</f>
        <v>0</v>
      </c>
      <c r="E11">
        <f>IF(D11&lt;&gt;0,1,0)</f>
        <v>0</v>
      </c>
    </row>
    <row r="12" spans="1:10">
      <c r="A12" t="str">
        <f>IF('Old Investment Proposal'!A17&lt;&gt;0,'Old Investment Proposal'!A17,"")</f>
        <v/>
      </c>
      <c r="B12" s="51" t="str">
        <f>IF('Old Investment Proposal'!B17&lt;&gt;0,'Old Investment Proposal'!B17,"")</f>
        <v/>
      </c>
      <c r="C12" s="50">
        <f>IFERROR(VLOOKUP(A12,'Asset Class Tables and Dropdown'!$A$4:$E$119,2,FALSE),0)</f>
        <v>0</v>
      </c>
      <c r="D12" s="6">
        <f>IFERROR(IF(AND(C12&lt;&gt;"OT",C12&lt;&gt;0),B12/$B$5,0),0)</f>
        <v>0</v>
      </c>
      <c r="E12">
        <f t="shared" ref="E12:E59" si="0">IF(D12&lt;&gt;0,1,0)</f>
        <v>0</v>
      </c>
    </row>
    <row r="13" spans="1:10">
      <c r="A13" t="str">
        <f>IF('Old Investment Proposal'!A18&lt;&gt;0,'Old Investment Proposal'!A18,"")</f>
        <v/>
      </c>
      <c r="B13" s="51" t="str">
        <f>IF('Old Investment Proposal'!B18&lt;&gt;0,'Old Investment Proposal'!B18,"")</f>
        <v/>
      </c>
      <c r="C13" s="50">
        <f>IFERROR(VLOOKUP(A13,'Asset Class Tables and Dropdown'!$A$4:$E$119,2,FALSE),0)</f>
        <v>0</v>
      </c>
      <c r="D13" s="6">
        <f t="shared" ref="D13:D59" si="1">IFERROR(IF(AND(C13&lt;&gt;"OT",C13&lt;&gt;0),B13/$B$5,0),0)</f>
        <v>0</v>
      </c>
      <c r="E13">
        <f t="shared" si="0"/>
        <v>0</v>
      </c>
    </row>
    <row r="14" spans="1:10">
      <c r="A14" t="str">
        <f>IF('Old Investment Proposal'!A19&lt;&gt;0,'Old Investment Proposal'!A19,"")</f>
        <v/>
      </c>
      <c r="B14" s="51" t="str">
        <f>IF('Old Investment Proposal'!B19&lt;&gt;0,'Old Investment Proposal'!B19,"")</f>
        <v/>
      </c>
      <c r="C14" s="50">
        <f>IFERROR(VLOOKUP(A14,'Asset Class Tables and Dropdown'!$A$4:$E$119,2,FALSE),0)</f>
        <v>0</v>
      </c>
      <c r="D14" s="6">
        <f t="shared" si="1"/>
        <v>0</v>
      </c>
      <c r="E14">
        <f t="shared" si="0"/>
        <v>0</v>
      </c>
    </row>
    <row r="15" spans="1:10">
      <c r="A15" t="str">
        <f>IF('Old Investment Proposal'!A20&lt;&gt;0,'Old Investment Proposal'!A20,"")</f>
        <v/>
      </c>
      <c r="B15" s="51" t="str">
        <f>IF('Old Investment Proposal'!B20&lt;&gt;0,'Old Investment Proposal'!B20,"")</f>
        <v/>
      </c>
      <c r="C15" s="50">
        <f>IFERROR(VLOOKUP(A15,'Asset Class Tables and Dropdown'!$A$4:$E$119,2,FALSE),0)</f>
        <v>0</v>
      </c>
      <c r="D15" s="6">
        <f t="shared" si="1"/>
        <v>0</v>
      </c>
      <c r="E15">
        <f t="shared" si="0"/>
        <v>0</v>
      </c>
    </row>
    <row r="16" spans="1:10">
      <c r="A16" t="str">
        <f>IF('Old Investment Proposal'!A21&lt;&gt;0,'Old Investment Proposal'!A21,"")</f>
        <v/>
      </c>
      <c r="B16" s="51" t="str">
        <f>IF('Old Investment Proposal'!B21&lt;&gt;0,'Old Investment Proposal'!B21,"")</f>
        <v/>
      </c>
      <c r="C16" s="50">
        <f>IFERROR(VLOOKUP(A16,'Asset Class Tables and Dropdown'!$A$4:$E$119,2,FALSE),0)</f>
        <v>0</v>
      </c>
      <c r="D16" s="6">
        <f t="shared" si="1"/>
        <v>0</v>
      </c>
      <c r="E16">
        <f t="shared" si="0"/>
        <v>0</v>
      </c>
    </row>
    <row r="17" spans="1:5">
      <c r="A17" t="str">
        <f>IF('Old Investment Proposal'!A22&lt;&gt;0,'Old Investment Proposal'!A22,"")</f>
        <v/>
      </c>
      <c r="B17" s="51" t="str">
        <f>IF('Old Investment Proposal'!B22&lt;&gt;0,'Old Investment Proposal'!B22,"")</f>
        <v/>
      </c>
      <c r="C17" s="50">
        <f>IFERROR(VLOOKUP(A17,'Asset Class Tables and Dropdown'!$A$4:$E$119,2,FALSE),0)</f>
        <v>0</v>
      </c>
      <c r="D17" s="6">
        <f t="shared" si="1"/>
        <v>0</v>
      </c>
      <c r="E17">
        <f t="shared" si="0"/>
        <v>0</v>
      </c>
    </row>
    <row r="18" spans="1:5">
      <c r="A18" t="str">
        <f>IF('Old Investment Proposal'!A23&lt;&gt;0,'Old Investment Proposal'!A23,"")</f>
        <v>Total</v>
      </c>
      <c r="B18" s="51" t="str">
        <f>IF('Old Investment Proposal'!B23&lt;&gt;0,'Old Investment Proposal'!B23,"")</f>
        <v/>
      </c>
      <c r="C18" s="50">
        <f>IFERROR(VLOOKUP(A18,'Asset Class Tables and Dropdown'!$A$4:$E$119,2,FALSE),0)</f>
        <v>0</v>
      </c>
      <c r="D18" s="6">
        <f t="shared" si="1"/>
        <v>0</v>
      </c>
      <c r="E18">
        <f t="shared" si="0"/>
        <v>0</v>
      </c>
    </row>
    <row r="19" spans="1:5">
      <c r="A19" t="str">
        <f>IF('Old Investment Proposal'!A24&lt;&gt;0,'Old Investment Proposal'!A24,"")</f>
        <v/>
      </c>
      <c r="B19" s="51" t="str">
        <f>IF('Old Investment Proposal'!B24&lt;&gt;0,'Old Investment Proposal'!B24,"")</f>
        <v/>
      </c>
      <c r="C19" s="50">
        <f>IFERROR(VLOOKUP(A19,'Asset Class Tables and Dropdown'!$A$4:$E$119,2,FALSE),0)</f>
        <v>0</v>
      </c>
      <c r="D19" s="6">
        <f t="shared" si="1"/>
        <v>0</v>
      </c>
      <c r="E19">
        <f t="shared" si="0"/>
        <v>0</v>
      </c>
    </row>
    <row r="20" spans="1:5">
      <c r="A20" t="str">
        <f>IF('Old Investment Proposal'!A25&lt;&gt;0,'Old Investment Proposal'!A25,"")</f>
        <v>PRIVATE LENDING</v>
      </c>
      <c r="B20" s="51" t="str">
        <f>IF('Old Investment Proposal'!B25&lt;&gt;0,'Old Investment Proposal'!B25,"")</f>
        <v/>
      </c>
      <c r="C20" s="50">
        <f>IFERROR(VLOOKUP(A20,'Asset Class Tables and Dropdown'!$A$4:$E$119,2,FALSE),0)</f>
        <v>0</v>
      </c>
      <c r="D20" s="6">
        <f t="shared" si="1"/>
        <v>0</v>
      </c>
      <c r="E20">
        <f t="shared" si="0"/>
        <v>0</v>
      </c>
    </row>
    <row r="21" spans="1:5">
      <c r="A21" t="str">
        <f>IF('Old Investment Proposal'!A27&lt;&gt;0,'Old Investment Proposal'!A27,"")</f>
        <v/>
      </c>
      <c r="B21" s="51" t="str">
        <f>IF('Old Investment Proposal'!B27&lt;&gt;0,'Old Investment Proposal'!B27,"")</f>
        <v/>
      </c>
      <c r="C21" s="50">
        <f>IFERROR(VLOOKUP(A21,'Asset Class Tables and Dropdown'!$A$4:$E$119,2,FALSE),0)</f>
        <v>0</v>
      </c>
      <c r="D21" s="6">
        <f t="shared" si="1"/>
        <v>0</v>
      </c>
      <c r="E21">
        <f t="shared" si="0"/>
        <v>0</v>
      </c>
    </row>
    <row r="22" spans="1:5">
      <c r="A22" t="str">
        <f>IF('Old Investment Proposal'!A28&lt;&gt;0,'Old Investment Proposal'!A28,"")</f>
        <v/>
      </c>
      <c r="B22" s="51" t="str">
        <f>IF('Old Investment Proposal'!B28&lt;&gt;0,'Old Investment Proposal'!B28,"")</f>
        <v/>
      </c>
      <c r="C22" s="50">
        <f>IFERROR(VLOOKUP(A22,'Asset Class Tables and Dropdown'!$A$4:$E$119,2,FALSE),0)</f>
        <v>0</v>
      </c>
      <c r="D22" s="6">
        <f t="shared" si="1"/>
        <v>0</v>
      </c>
      <c r="E22">
        <f t="shared" si="0"/>
        <v>0</v>
      </c>
    </row>
    <row r="23" spans="1:5">
      <c r="A23" t="str">
        <f>IF('Old Investment Proposal'!A29&lt;&gt;0,'Old Investment Proposal'!A29,"")</f>
        <v>Total</v>
      </c>
      <c r="B23" s="51" t="str">
        <f>IF('Old Investment Proposal'!B29&lt;&gt;0,'Old Investment Proposal'!B29,"")</f>
        <v/>
      </c>
      <c r="C23" s="50">
        <f>IFERROR(VLOOKUP(A23,'Asset Class Tables and Dropdown'!$A$4:$E$119,2,FALSE),0)</f>
        <v>0</v>
      </c>
      <c r="D23" s="6">
        <f t="shared" si="1"/>
        <v>0</v>
      </c>
      <c r="E23">
        <f t="shared" si="0"/>
        <v>0</v>
      </c>
    </row>
    <row r="24" spans="1:5">
      <c r="A24" t="str">
        <f>IF('Old Investment Proposal'!A30&lt;&gt;0,'Old Investment Proposal'!A30,"")</f>
        <v/>
      </c>
      <c r="B24" s="51" t="str">
        <f>IF('Old Investment Proposal'!B30&lt;&gt;0,'Old Investment Proposal'!B30,"")</f>
        <v/>
      </c>
      <c r="C24" s="50">
        <f>IFERROR(VLOOKUP(A24,'Asset Class Tables and Dropdown'!$A$4:$E$119,2,FALSE),0)</f>
        <v>0</v>
      </c>
      <c r="D24" s="6">
        <f t="shared" si="1"/>
        <v>0</v>
      </c>
      <c r="E24">
        <f t="shared" si="0"/>
        <v>0</v>
      </c>
    </row>
    <row r="25" spans="1:5">
      <c r="A25" t="str">
        <f>IF('Old Investment Proposal'!A31&lt;&gt;0,'Old Investment Proposal'!A31,"")</f>
        <v>PRIVATE EQUITY</v>
      </c>
      <c r="B25" s="51" t="str">
        <f>IF('Old Investment Proposal'!B31&lt;&gt;0,'Old Investment Proposal'!B31,"")</f>
        <v/>
      </c>
      <c r="C25" s="50">
        <f>IFERROR(VLOOKUP(A25,'Asset Class Tables and Dropdown'!$A$4:$E$119,2,FALSE),0)</f>
        <v>0</v>
      </c>
      <c r="D25" s="6">
        <f t="shared" si="1"/>
        <v>0</v>
      </c>
      <c r="E25">
        <f t="shared" si="0"/>
        <v>0</v>
      </c>
    </row>
    <row r="26" spans="1:5">
      <c r="A26" t="str">
        <f>IF('Old Investment Proposal'!A33&lt;&gt;0,'Old Investment Proposal'!A33,"")</f>
        <v/>
      </c>
      <c r="B26" s="51" t="str">
        <f>IF('Old Investment Proposal'!B33&lt;&gt;0,'Old Investment Proposal'!B33,"")</f>
        <v/>
      </c>
      <c r="C26" s="50">
        <f>IFERROR(VLOOKUP(A26,'Asset Class Tables and Dropdown'!$A$4:$E$119,2,FALSE),0)</f>
        <v>0</v>
      </c>
      <c r="D26" s="6">
        <f t="shared" si="1"/>
        <v>0</v>
      </c>
      <c r="E26">
        <f t="shared" si="0"/>
        <v>0</v>
      </c>
    </row>
    <row r="27" spans="1:5">
      <c r="A27" t="str">
        <f>IF('Old Investment Proposal'!A34&lt;&gt;0,'Old Investment Proposal'!A34,"")</f>
        <v/>
      </c>
      <c r="B27" s="51" t="str">
        <f>IF('Old Investment Proposal'!B34&lt;&gt;0,'Old Investment Proposal'!B34,"")</f>
        <v/>
      </c>
      <c r="C27" s="50">
        <f>IFERROR(VLOOKUP(A27,'Asset Class Tables and Dropdown'!$A$4:$E$119,2,FALSE),0)</f>
        <v>0</v>
      </c>
      <c r="D27" s="6">
        <f t="shared" si="1"/>
        <v>0</v>
      </c>
      <c r="E27">
        <f t="shared" si="0"/>
        <v>0</v>
      </c>
    </row>
    <row r="28" spans="1:5">
      <c r="A28" t="str">
        <f>IF('Old Investment Proposal'!A35&lt;&gt;0,'Old Investment Proposal'!A35,"")</f>
        <v/>
      </c>
      <c r="B28" s="51" t="str">
        <f>IF('Old Investment Proposal'!B35&lt;&gt;0,'Old Investment Proposal'!B35,"")</f>
        <v/>
      </c>
      <c r="C28" s="50">
        <f>IFERROR(VLOOKUP(A28,'Asset Class Tables and Dropdown'!$A$4:$E$119,2,FALSE),0)</f>
        <v>0</v>
      </c>
      <c r="D28" s="6">
        <f t="shared" si="1"/>
        <v>0</v>
      </c>
      <c r="E28">
        <f t="shared" si="0"/>
        <v>0</v>
      </c>
    </row>
    <row r="29" spans="1:5">
      <c r="A29" t="str">
        <f>IF('Old Investment Proposal'!A36&lt;&gt;0,'Old Investment Proposal'!A36,"")</f>
        <v>Total</v>
      </c>
      <c r="B29" s="51" t="str">
        <f>IF('Old Investment Proposal'!B36&lt;&gt;0,'Old Investment Proposal'!B36,"")</f>
        <v/>
      </c>
      <c r="C29" s="50">
        <f>IFERROR(VLOOKUP(A29,'Asset Class Tables and Dropdown'!$A$4:$E$119,2,FALSE),0)</f>
        <v>0</v>
      </c>
      <c r="D29" s="6">
        <f t="shared" si="1"/>
        <v>0</v>
      </c>
      <c r="E29">
        <f t="shared" si="0"/>
        <v>0</v>
      </c>
    </row>
    <row r="30" spans="1:5">
      <c r="A30" t="str">
        <f>IF('Old Investment Proposal'!A44&lt;&gt;0,'Old Investment Proposal'!A44,"")</f>
        <v>Total</v>
      </c>
      <c r="B30" s="51" t="str">
        <f>IF('Old Investment Proposal'!B44&lt;&gt;0,'Old Investment Proposal'!B44,"")</f>
        <v/>
      </c>
      <c r="C30" s="50">
        <f>IFERROR(VLOOKUP(A30,'Asset Class Tables and Dropdown'!$A$4:$E$119,2,FALSE),0)</f>
        <v>0</v>
      </c>
      <c r="D30" s="6">
        <f t="shared" si="1"/>
        <v>0</v>
      </c>
      <c r="E30">
        <f t="shared" si="0"/>
        <v>0</v>
      </c>
    </row>
    <row r="31" spans="1:5">
      <c r="A31" t="str">
        <f>IF('Old Investment Proposal'!A46&lt;&gt;0,'Old Investment Proposal'!A46,"")</f>
        <v>ABSOLUTE RETURN</v>
      </c>
      <c r="B31" s="51" t="str">
        <f>IF('Old Investment Proposal'!B46&lt;&gt;0,'Old Investment Proposal'!B46,"")</f>
        <v/>
      </c>
      <c r="C31" s="50">
        <f>IFERROR(VLOOKUP(A31,'Asset Class Tables and Dropdown'!$A$4:$E$119,2,FALSE),0)</f>
        <v>0</v>
      </c>
      <c r="D31" s="6">
        <f t="shared" si="1"/>
        <v>0</v>
      </c>
      <c r="E31">
        <f t="shared" si="0"/>
        <v>0</v>
      </c>
    </row>
    <row r="32" spans="1:5">
      <c r="A32" t="str">
        <f>IF('Old Investment Proposal'!A47&lt;&gt;0,'Old Investment Proposal'!A47,"")</f>
        <v/>
      </c>
      <c r="B32" s="51" t="str">
        <f>IF('Old Investment Proposal'!B47&lt;&gt;0,'Old Investment Proposal'!B47,"")</f>
        <v/>
      </c>
      <c r="C32" s="50">
        <f>IFERROR(VLOOKUP(A32,'Asset Class Tables and Dropdown'!$A$4:$E$119,2,FALSE),0)</f>
        <v>0</v>
      </c>
      <c r="D32" s="6">
        <f t="shared" si="1"/>
        <v>0</v>
      </c>
      <c r="E32">
        <f t="shared" si="0"/>
        <v>0</v>
      </c>
    </row>
    <row r="33" spans="1:5">
      <c r="A33" t="str">
        <f>IF('Old Investment Proposal'!A48&lt;&gt;0,'Old Investment Proposal'!A48,"")</f>
        <v/>
      </c>
      <c r="B33" s="51" t="str">
        <f>IF('Old Investment Proposal'!B48&lt;&gt;0,'Old Investment Proposal'!B48,"")</f>
        <v/>
      </c>
      <c r="C33" s="50">
        <f>IFERROR(VLOOKUP(A33,'Asset Class Tables and Dropdown'!$A$4:$E$119,2,FALSE),0)</f>
        <v>0</v>
      </c>
      <c r="D33" s="6">
        <f t="shared" si="1"/>
        <v>0</v>
      </c>
      <c r="E33">
        <f t="shared" si="0"/>
        <v>0</v>
      </c>
    </row>
    <row r="34" spans="1:5">
      <c r="A34" t="str">
        <f>IF('Old Investment Proposal'!A49&lt;&gt;0,'Old Investment Proposal'!A49,"")</f>
        <v/>
      </c>
      <c r="B34" s="51" t="str">
        <f>IF('Old Investment Proposal'!B49&lt;&gt;0,'Old Investment Proposal'!B49,"")</f>
        <v/>
      </c>
      <c r="C34" s="50">
        <f>IFERROR(VLOOKUP(A34,'Asset Class Tables and Dropdown'!$A$4:$E$119,2,FALSE),0)</f>
        <v>0</v>
      </c>
      <c r="D34" s="6">
        <f t="shared" si="1"/>
        <v>0</v>
      </c>
      <c r="E34">
        <f t="shared" si="0"/>
        <v>0</v>
      </c>
    </row>
    <row r="35" spans="1:5">
      <c r="A35" t="str">
        <f>IF('Old Investment Proposal'!A50&lt;&gt;0,'Old Investment Proposal'!A50,"")</f>
        <v/>
      </c>
      <c r="B35" s="51" t="str">
        <f>IF('Old Investment Proposal'!B50&lt;&gt;0,'Old Investment Proposal'!B50,"")</f>
        <v/>
      </c>
      <c r="C35" s="50">
        <f>IFERROR(VLOOKUP(A35,'Asset Class Tables and Dropdown'!$A$4:$E$119,2,FALSE),0)</f>
        <v>0</v>
      </c>
      <c r="D35" s="6">
        <f t="shared" si="1"/>
        <v>0</v>
      </c>
      <c r="E35">
        <f t="shared" si="0"/>
        <v>0</v>
      </c>
    </row>
    <row r="36" spans="1:5">
      <c r="A36" t="str">
        <f>IF('Old Investment Proposal'!A51&lt;&gt;0,'Old Investment Proposal'!A51,"")</f>
        <v/>
      </c>
      <c r="B36" s="51" t="str">
        <f>IF('Old Investment Proposal'!B51&lt;&gt;0,'Old Investment Proposal'!B51,"")</f>
        <v/>
      </c>
      <c r="C36" s="50">
        <f>IFERROR(VLOOKUP(A36,'Asset Class Tables and Dropdown'!$A$4:$E$119,2,FALSE),0)</f>
        <v>0</v>
      </c>
      <c r="D36" s="6">
        <f t="shared" si="1"/>
        <v>0</v>
      </c>
      <c r="E36">
        <f t="shared" si="0"/>
        <v>0</v>
      </c>
    </row>
    <row r="37" spans="1:5">
      <c r="A37" t="str">
        <f>IF('Old Investment Proposal'!A52&lt;&gt;0,'Old Investment Proposal'!A52,"")</f>
        <v/>
      </c>
      <c r="B37" s="51" t="str">
        <f>IF('Old Investment Proposal'!B52&lt;&gt;0,'Old Investment Proposal'!B52,"")</f>
        <v/>
      </c>
      <c r="C37" s="50">
        <f>IFERROR(VLOOKUP(A37,'Asset Class Tables and Dropdown'!$A$4:$E$119,2,FALSE),0)</f>
        <v>0</v>
      </c>
      <c r="D37" s="6">
        <f t="shared" si="1"/>
        <v>0</v>
      </c>
      <c r="E37">
        <f t="shared" si="0"/>
        <v>0</v>
      </c>
    </row>
    <row r="38" spans="1:5">
      <c r="A38" t="str">
        <f>IF('Old Investment Proposal'!A53&lt;&gt;0,'Old Investment Proposal'!A53,"")</f>
        <v/>
      </c>
      <c r="B38" s="51" t="str">
        <f>IF('Old Investment Proposal'!B53&lt;&gt;0,'Old Investment Proposal'!B53,"")</f>
        <v/>
      </c>
      <c r="C38" s="50">
        <f>IFERROR(VLOOKUP(A38,'Asset Class Tables and Dropdown'!$A$4:$E$119,2,FALSE),0)</f>
        <v>0</v>
      </c>
      <c r="D38" s="6">
        <f t="shared" si="1"/>
        <v>0</v>
      </c>
      <c r="E38">
        <f t="shared" si="0"/>
        <v>0</v>
      </c>
    </row>
    <row r="39" spans="1:5">
      <c r="A39" t="str">
        <f>IF('Old Investment Proposal'!A54&lt;&gt;0,'Old Investment Proposal'!A54,"")</f>
        <v>Total</v>
      </c>
      <c r="B39" s="51" t="str">
        <f>IF('Old Investment Proposal'!B54&lt;&gt;0,'Old Investment Proposal'!B54,"")</f>
        <v/>
      </c>
      <c r="C39" s="50">
        <f>IFERROR(VLOOKUP(A39,'Asset Class Tables and Dropdown'!$A$4:$E$119,2,FALSE),0)</f>
        <v>0</v>
      </c>
      <c r="D39" s="6">
        <f t="shared" si="1"/>
        <v>0</v>
      </c>
      <c r="E39">
        <f t="shared" si="0"/>
        <v>0</v>
      </c>
    </row>
    <row r="40" spans="1:5">
      <c r="A40" t="str">
        <f>IF('Old Investment Proposal'!A63&lt;&gt;0,'Old Investment Proposal'!A63,"")</f>
        <v/>
      </c>
      <c r="B40" s="51" t="str">
        <f>IF('Old Investment Proposal'!B63&lt;&gt;0,'Old Investment Proposal'!B63,"")</f>
        <v/>
      </c>
      <c r="C40" s="50">
        <f>IFERROR(VLOOKUP(A40,'Asset Class Tables and Dropdown'!$A$4:$E$119,2,FALSE),0)</f>
        <v>0</v>
      </c>
      <c r="D40" s="6">
        <f t="shared" si="1"/>
        <v>0</v>
      </c>
      <c r="E40">
        <f t="shared" si="0"/>
        <v>0</v>
      </c>
    </row>
    <row r="41" spans="1:5">
      <c r="A41" t="str">
        <f>IF('Old Investment Proposal'!A64&lt;&gt;0,'Old Investment Proposal'!A64,"")</f>
        <v>PUBLIC EQUITY</v>
      </c>
      <c r="B41" s="51" t="str">
        <f>IF('Old Investment Proposal'!B64&lt;&gt;0,'Old Investment Proposal'!B64,"")</f>
        <v/>
      </c>
      <c r="C41" s="50">
        <f>IFERROR(VLOOKUP(A41,'Asset Class Tables and Dropdown'!$A$4:$E$119,2,FALSE),0)</f>
        <v>0</v>
      </c>
      <c r="D41" s="6">
        <f t="shared" si="1"/>
        <v>0</v>
      </c>
      <c r="E41">
        <f t="shared" si="0"/>
        <v>0</v>
      </c>
    </row>
    <row r="42" spans="1:5">
      <c r="A42" t="str">
        <f>IF('Old Investment Proposal'!A65&lt;&gt;0,'Old Investment Proposal'!A65,"")</f>
        <v/>
      </c>
      <c r="B42" s="51" t="str">
        <f>IF('Old Investment Proposal'!B65&lt;&gt;0,'Old Investment Proposal'!B65,"")</f>
        <v/>
      </c>
      <c r="C42" s="50">
        <f>IFERROR(VLOOKUP(A42,'Asset Class Tables and Dropdown'!$A$4:$E$119,2,FALSE),0)</f>
        <v>0</v>
      </c>
      <c r="D42" s="6">
        <f t="shared" si="1"/>
        <v>0</v>
      </c>
      <c r="E42">
        <f t="shared" si="0"/>
        <v>0</v>
      </c>
    </row>
    <row r="43" spans="1:5">
      <c r="A43" t="str">
        <f>IF('Old Investment Proposal'!A66&lt;&gt;0,'Old Investment Proposal'!A66,"")</f>
        <v/>
      </c>
      <c r="B43" s="51" t="str">
        <f>IF('Old Investment Proposal'!B66&lt;&gt;0,'Old Investment Proposal'!B66,"")</f>
        <v/>
      </c>
      <c r="C43" s="50">
        <f>IFERROR(VLOOKUP(A43,'Asset Class Tables and Dropdown'!$A$4:$E$119,2,FALSE),0)</f>
        <v>0</v>
      </c>
      <c r="D43" s="6">
        <f t="shared" si="1"/>
        <v>0</v>
      </c>
      <c r="E43">
        <f t="shared" si="0"/>
        <v>0</v>
      </c>
    </row>
    <row r="44" spans="1:5">
      <c r="A44" t="str">
        <f>IF('Old Investment Proposal'!A67&lt;&gt;0,'Old Investment Proposal'!A67,"")</f>
        <v/>
      </c>
      <c r="B44" s="51" t="str">
        <f>IF('Old Investment Proposal'!B67&lt;&gt;0,'Old Investment Proposal'!B67,"")</f>
        <v/>
      </c>
      <c r="C44" s="50">
        <f>IFERROR(VLOOKUP(A44,'Asset Class Tables and Dropdown'!$A$4:$E$119,2,FALSE),0)</f>
        <v>0</v>
      </c>
      <c r="D44" s="6">
        <f t="shared" si="1"/>
        <v>0</v>
      </c>
      <c r="E44">
        <f t="shared" si="0"/>
        <v>0</v>
      </c>
    </row>
    <row r="45" spans="1:5">
      <c r="A45" t="str">
        <f>IF('Old Investment Proposal'!A68&lt;&gt;0,'Old Investment Proposal'!A68,"")</f>
        <v/>
      </c>
      <c r="B45" s="51" t="str">
        <f>IF('Old Investment Proposal'!B68&lt;&gt;0,'Old Investment Proposal'!B68,"")</f>
        <v/>
      </c>
      <c r="C45" s="50">
        <f>IFERROR(VLOOKUP(A45,'Asset Class Tables and Dropdown'!$A$4:$E$119,2,FALSE),0)</f>
        <v>0</v>
      </c>
      <c r="D45" s="6">
        <f t="shared" si="1"/>
        <v>0</v>
      </c>
      <c r="E45">
        <f t="shared" si="0"/>
        <v>0</v>
      </c>
    </row>
    <row r="46" spans="1:5">
      <c r="A46" t="str">
        <f>IF('Old Investment Proposal'!A69&lt;&gt;0,'Old Investment Proposal'!A69,"")</f>
        <v/>
      </c>
      <c r="B46" s="51" t="str">
        <f>IF('Old Investment Proposal'!B69&lt;&gt;0,'Old Investment Proposal'!B69,"")</f>
        <v/>
      </c>
      <c r="C46" s="50">
        <f>IFERROR(VLOOKUP(A46,'Asset Class Tables and Dropdown'!$A$4:$E$119,2,FALSE),0)</f>
        <v>0</v>
      </c>
      <c r="D46" s="6">
        <f t="shared" si="1"/>
        <v>0</v>
      </c>
      <c r="E46">
        <f t="shared" si="0"/>
        <v>0</v>
      </c>
    </row>
    <row r="47" spans="1:5">
      <c r="A47" t="str">
        <f>IF('Old Investment Proposal'!A70&lt;&gt;0,'Old Investment Proposal'!A70,"")</f>
        <v/>
      </c>
      <c r="B47" s="51" t="str">
        <f>IF('Old Investment Proposal'!B70&lt;&gt;0,'Old Investment Proposal'!B70,"")</f>
        <v/>
      </c>
      <c r="C47" s="50">
        <f>IFERROR(VLOOKUP(A47,'Asset Class Tables and Dropdown'!$A$4:$E$119,2,FALSE),0)</f>
        <v>0</v>
      </c>
      <c r="D47" s="6">
        <f t="shared" si="1"/>
        <v>0</v>
      </c>
      <c r="E47">
        <f t="shared" si="0"/>
        <v>0</v>
      </c>
    </row>
    <row r="48" spans="1:5">
      <c r="A48" t="str">
        <f>IF('Old Investment Proposal'!A71&lt;&gt;0,'Old Investment Proposal'!A71,"")</f>
        <v/>
      </c>
      <c r="B48" s="51" t="str">
        <f>IF('Old Investment Proposal'!B71&lt;&gt;0,'Old Investment Proposal'!B71,"")</f>
        <v/>
      </c>
      <c r="C48" s="50">
        <f>IFERROR(VLOOKUP(A48,'Asset Class Tables and Dropdown'!$A$4:$E$119,2,FALSE),0)</f>
        <v>0</v>
      </c>
      <c r="D48" s="6">
        <f t="shared" si="1"/>
        <v>0</v>
      </c>
      <c r="E48">
        <f t="shared" si="0"/>
        <v>0</v>
      </c>
    </row>
    <row r="49" spans="1:5">
      <c r="A49" t="str">
        <f>IF('Old Investment Proposal'!A72&lt;&gt;0,'Old Investment Proposal'!A72,"")</f>
        <v/>
      </c>
      <c r="B49" s="51" t="str">
        <f>IF('Old Investment Proposal'!B72&lt;&gt;0,'Old Investment Proposal'!B72,"")</f>
        <v/>
      </c>
      <c r="C49" s="50">
        <f>IFERROR(VLOOKUP(A49,'Asset Class Tables and Dropdown'!$A$4:$E$119,2,FALSE),0)</f>
        <v>0</v>
      </c>
      <c r="D49" s="6">
        <f t="shared" si="1"/>
        <v>0</v>
      </c>
      <c r="E49">
        <f t="shared" si="0"/>
        <v>0</v>
      </c>
    </row>
    <row r="50" spans="1:5">
      <c r="A50" t="str">
        <f>IF('Old Investment Proposal'!A73&lt;&gt;0,'Old Investment Proposal'!A73,"")</f>
        <v/>
      </c>
      <c r="B50" s="51" t="str">
        <f>IF('Old Investment Proposal'!B73&lt;&gt;0,'Old Investment Proposal'!B73,"")</f>
        <v/>
      </c>
      <c r="C50" s="50">
        <f>IFERROR(VLOOKUP(A50,'Asset Class Tables and Dropdown'!$A$4:$E$119,2,FALSE),0)</f>
        <v>0</v>
      </c>
      <c r="D50" s="6">
        <f t="shared" si="1"/>
        <v>0</v>
      </c>
      <c r="E50">
        <f t="shared" si="0"/>
        <v>0</v>
      </c>
    </row>
    <row r="51" spans="1:5">
      <c r="A51" t="str">
        <f>IF('Old Investment Proposal'!A74&lt;&gt;0,'Old Investment Proposal'!A74,"")</f>
        <v/>
      </c>
      <c r="B51" s="51" t="str">
        <f>IF('Old Investment Proposal'!B74&lt;&gt;0,'Old Investment Proposal'!B74,"")</f>
        <v/>
      </c>
      <c r="C51" s="50">
        <f>IFERROR(VLOOKUP(A51,'Asset Class Tables and Dropdown'!$A$4:$E$119,2,FALSE),0)</f>
        <v>0</v>
      </c>
      <c r="D51" s="6">
        <f t="shared" si="1"/>
        <v>0</v>
      </c>
      <c r="E51">
        <f t="shared" si="0"/>
        <v>0</v>
      </c>
    </row>
    <row r="52" spans="1:5">
      <c r="A52" t="str">
        <f>IF('Old Investment Proposal'!A75&lt;&gt;0,'Old Investment Proposal'!A75,"")</f>
        <v/>
      </c>
      <c r="B52" s="51" t="str">
        <f>IF('Old Investment Proposal'!B75&lt;&gt;0,'Old Investment Proposal'!B75,"")</f>
        <v/>
      </c>
      <c r="C52" s="50">
        <f>IFERROR(VLOOKUP(A52,'Asset Class Tables and Dropdown'!$A$4:$E$119,2,FALSE),0)</f>
        <v>0</v>
      </c>
      <c r="D52" s="6">
        <f t="shared" si="1"/>
        <v>0</v>
      </c>
      <c r="E52">
        <f t="shared" si="0"/>
        <v>0</v>
      </c>
    </row>
    <row r="53" spans="1:5">
      <c r="A53" t="str">
        <f>IF('Old Investment Proposal'!A76&lt;&gt;0,'Old Investment Proposal'!A76,"")</f>
        <v/>
      </c>
      <c r="B53" s="51" t="str">
        <f>IF('Old Investment Proposal'!B76&lt;&gt;0,'Old Investment Proposal'!B76,"")</f>
        <v/>
      </c>
      <c r="C53" s="50">
        <f>IFERROR(VLOOKUP(A53,'Asset Class Tables and Dropdown'!$A$4:$E$119,2,FALSE),0)</f>
        <v>0</v>
      </c>
      <c r="D53" s="6">
        <f t="shared" si="1"/>
        <v>0</v>
      </c>
      <c r="E53">
        <f t="shared" si="0"/>
        <v>0</v>
      </c>
    </row>
    <row r="54" spans="1:5">
      <c r="A54" t="str">
        <f>IF('Old Investment Proposal'!A77&lt;&gt;0,'Old Investment Proposal'!A77,"")</f>
        <v/>
      </c>
      <c r="B54" s="51" t="str">
        <f>IF('Old Investment Proposal'!B77&lt;&gt;0,'Old Investment Proposal'!B77,"")</f>
        <v/>
      </c>
      <c r="C54" s="50">
        <f>IFERROR(VLOOKUP(A54,'Asset Class Tables and Dropdown'!$A$4:$E$119,2,FALSE),0)</f>
        <v>0</v>
      </c>
      <c r="D54" s="6">
        <f t="shared" si="1"/>
        <v>0</v>
      </c>
      <c r="E54">
        <f t="shared" si="0"/>
        <v>0</v>
      </c>
    </row>
    <row r="55" spans="1:5">
      <c r="A55" t="str">
        <f>IF('Old Investment Proposal'!A78&lt;&gt;0,'Old Investment Proposal'!A78,"")</f>
        <v/>
      </c>
      <c r="B55" s="51" t="str">
        <f>IF('Old Investment Proposal'!B78&lt;&gt;0,'Old Investment Proposal'!B78,"")</f>
        <v/>
      </c>
      <c r="C55" s="50">
        <f>IFERROR(VLOOKUP(A55,'Asset Class Tables and Dropdown'!$A$4:$E$119,2,FALSE),0)</f>
        <v>0</v>
      </c>
      <c r="D55" s="6">
        <f t="shared" si="1"/>
        <v>0</v>
      </c>
      <c r="E55">
        <f t="shared" si="0"/>
        <v>0</v>
      </c>
    </row>
    <row r="56" spans="1:5">
      <c r="A56" t="str">
        <f>IF('Old Investment Proposal'!A79&lt;&gt;0,'Old Investment Proposal'!A79,"")</f>
        <v/>
      </c>
      <c r="B56" s="51" t="str">
        <f>IF('Old Investment Proposal'!B79&lt;&gt;0,'Old Investment Proposal'!B79,"")</f>
        <v/>
      </c>
      <c r="C56" s="50">
        <f>IFERROR(VLOOKUP(A56,'Asset Class Tables and Dropdown'!$A$4:$E$119,2,FALSE),0)</f>
        <v>0</v>
      </c>
      <c r="D56" s="6">
        <f t="shared" si="1"/>
        <v>0</v>
      </c>
      <c r="E56">
        <f t="shared" si="0"/>
        <v>0</v>
      </c>
    </row>
    <row r="57" spans="1:5">
      <c r="A57" t="str">
        <f>IF('Old Investment Proposal'!A80&lt;&gt;0,'Old Investment Proposal'!A80,"")</f>
        <v/>
      </c>
      <c r="B57" s="51" t="str">
        <f>IF('Old Investment Proposal'!B80&lt;&gt;0,'Old Investment Proposal'!B80,"")</f>
        <v/>
      </c>
      <c r="C57" s="50">
        <f>IFERROR(VLOOKUP(A57,'Asset Class Tables and Dropdown'!$A$4:$E$119,2,FALSE),0)</f>
        <v>0</v>
      </c>
      <c r="D57" s="6">
        <f t="shared" si="1"/>
        <v>0</v>
      </c>
      <c r="E57">
        <f t="shared" si="0"/>
        <v>0</v>
      </c>
    </row>
    <row r="58" spans="1:5">
      <c r="A58" t="str">
        <f>IF('Old Investment Proposal'!A81&lt;&gt;0,'Old Investment Proposal'!A81,"")</f>
        <v/>
      </c>
      <c r="B58" s="51" t="str">
        <f>IF('Old Investment Proposal'!B81&lt;&gt;0,'Old Investment Proposal'!B81,"")</f>
        <v/>
      </c>
      <c r="C58" s="50">
        <f>IFERROR(VLOOKUP(A58,'Asset Class Tables and Dropdown'!$A$4:$E$119,2,FALSE),0)</f>
        <v>0</v>
      </c>
      <c r="D58" s="6">
        <f t="shared" si="1"/>
        <v>0</v>
      </c>
      <c r="E58">
        <f t="shared" si="0"/>
        <v>0</v>
      </c>
    </row>
    <row r="59" spans="1:5">
      <c r="A59" t="str">
        <f>IF('Old Investment Proposal'!A82&lt;&gt;0,'Old Investment Proposal'!A82,"")</f>
        <v/>
      </c>
      <c r="B59" s="51" t="str">
        <f>IF('Old Investment Proposal'!B82&lt;&gt;0,'Old Investment Proposal'!B82,"")</f>
        <v/>
      </c>
      <c r="C59" s="50">
        <f>IFERROR(VLOOKUP(A59,'Asset Class Tables and Dropdown'!$A$4:$E$119,2,FALSE),0)</f>
        <v>0</v>
      </c>
      <c r="D59" s="6">
        <f t="shared" si="1"/>
        <v>0</v>
      </c>
      <c r="E59">
        <f t="shared" si="0"/>
        <v>0</v>
      </c>
    </row>
    <row r="60" spans="1:5">
      <c r="A60" t="str">
        <f>IF('Old Investment Proposal'!A83&lt;&gt;0,'Old Investment Proposal'!A83,"")</f>
        <v>Total</v>
      </c>
      <c r="B60" s="51" t="str">
        <f>IF('Old Investment Proposal'!B83&lt;&gt;0,'Old Investment Proposal'!B83,"")</f>
        <v/>
      </c>
      <c r="C60" s="50">
        <f>IFERROR(VLOOKUP(A60,'Asset Class Tables and Dropdown'!$A$4:$E$119,2,FALSE),0)</f>
        <v>0</v>
      </c>
      <c r="D60" s="6">
        <f t="shared" ref="D60:D68" si="2">IFERROR(IF(AND(C60&lt;&gt;"OT",C60&lt;&gt;0),B60/$B$5,0),0)</f>
        <v>0</v>
      </c>
      <c r="E60">
        <f t="shared" ref="E60:E68" si="3">IF(D60&lt;&gt;0,1,0)</f>
        <v>0</v>
      </c>
    </row>
    <row r="61" spans="1:5">
      <c r="A61" t="str">
        <f>IF('Old Investment Proposal'!A84&lt;&gt;0,'Old Investment Proposal'!A84,"")</f>
        <v/>
      </c>
      <c r="B61" s="51" t="str">
        <f>IF('Old Investment Proposal'!B84&lt;&gt;0,'Old Investment Proposal'!B84,"")</f>
        <v/>
      </c>
      <c r="C61" s="50">
        <f>IFERROR(VLOOKUP(A61,'Asset Class Tables and Dropdown'!$A$4:$E$119,2,FALSE),0)</f>
        <v>0</v>
      </c>
      <c r="D61" s="6">
        <f t="shared" si="2"/>
        <v>0</v>
      </c>
      <c r="E61">
        <f t="shared" si="3"/>
        <v>0</v>
      </c>
    </row>
    <row r="62" spans="1:5">
      <c r="A62" t="str">
        <f>IF('Old Investment Proposal'!A85&lt;&gt;0,'Old Investment Proposal'!A85,"")</f>
        <v>OTHER</v>
      </c>
      <c r="B62" s="51" t="str">
        <f>IF('Old Investment Proposal'!B85&lt;&gt;0,'Old Investment Proposal'!B85,"")</f>
        <v/>
      </c>
      <c r="C62" s="50">
        <f>IFERROR(VLOOKUP(A62,'Asset Class Tables and Dropdown'!$A$4:$E$119,2,FALSE),0)</f>
        <v>0</v>
      </c>
      <c r="D62" s="6">
        <f t="shared" si="2"/>
        <v>0</v>
      </c>
      <c r="E62">
        <f t="shared" si="3"/>
        <v>0</v>
      </c>
    </row>
    <row r="63" spans="1:5">
      <c r="A63" t="str">
        <f>IF('Old Investment Proposal'!A86&lt;&gt;0,'Old Investment Proposal'!A86,"")</f>
        <v/>
      </c>
      <c r="B63" s="51" t="str">
        <f>IF('Old Investment Proposal'!B86&lt;&gt;0,'Old Investment Proposal'!B86,"")</f>
        <v/>
      </c>
      <c r="C63" s="50">
        <f>IFERROR(VLOOKUP(A63,'Asset Class Tables and Dropdown'!$A$4:$E$119,2,FALSE),0)</f>
        <v>0</v>
      </c>
      <c r="D63" s="6">
        <f t="shared" si="2"/>
        <v>0</v>
      </c>
      <c r="E63">
        <f t="shared" si="3"/>
        <v>0</v>
      </c>
    </row>
    <row r="64" spans="1:5">
      <c r="A64" t="str">
        <f>IF('Old Investment Proposal'!A87&lt;&gt;0,'Old Investment Proposal'!A87,"")</f>
        <v/>
      </c>
      <c r="B64" s="51" t="str">
        <f>IF('Old Investment Proposal'!B87&lt;&gt;0,'Old Investment Proposal'!B87,"")</f>
        <v/>
      </c>
      <c r="C64" s="50">
        <f>IFERROR(VLOOKUP(A64,'Asset Class Tables and Dropdown'!$A$4:$E$119,2,FALSE),0)</f>
        <v>0</v>
      </c>
      <c r="D64" s="6">
        <f t="shared" si="2"/>
        <v>0</v>
      </c>
      <c r="E64">
        <f t="shared" si="3"/>
        <v>0</v>
      </c>
    </row>
    <row r="65" spans="1:5">
      <c r="A65" t="str">
        <f>IF('Old Investment Proposal'!A88&lt;&gt;0,'Old Investment Proposal'!A88,"")</f>
        <v/>
      </c>
      <c r="B65" s="51" t="str">
        <f>IF('Old Investment Proposal'!B88&lt;&gt;0,'Old Investment Proposal'!B88,"")</f>
        <v/>
      </c>
      <c r="C65" s="50">
        <f>IFERROR(VLOOKUP(A65,'Asset Class Tables and Dropdown'!$A$4:$E$119,2,FALSE),0)</f>
        <v>0</v>
      </c>
      <c r="D65" s="6">
        <f t="shared" si="2"/>
        <v>0</v>
      </c>
      <c r="E65">
        <f t="shared" si="3"/>
        <v>0</v>
      </c>
    </row>
    <row r="66" spans="1:5">
      <c r="A66" t="str">
        <f>IF('Old Investment Proposal'!A89&lt;&gt;0,'Old Investment Proposal'!A89,"")</f>
        <v>Total</v>
      </c>
      <c r="B66" s="51" t="str">
        <f>IF('Old Investment Proposal'!B89&lt;&gt;0,'Old Investment Proposal'!B89,"")</f>
        <v/>
      </c>
      <c r="C66" s="50">
        <f>IFERROR(VLOOKUP(A66,'Asset Class Tables and Dropdown'!$A$4:$E$119,2,FALSE),0)</f>
        <v>0</v>
      </c>
      <c r="D66" s="6">
        <f t="shared" si="2"/>
        <v>0</v>
      </c>
      <c r="E66">
        <f t="shared" si="3"/>
        <v>0</v>
      </c>
    </row>
    <row r="67" spans="1:5">
      <c r="A67" t="str">
        <f>IF('Old Investment Proposal'!A90&lt;&gt;0,'Old Investment Proposal'!A90,"")</f>
        <v/>
      </c>
      <c r="B67" s="51" t="str">
        <f>IF('Old Investment Proposal'!B90&lt;&gt;0,'Old Investment Proposal'!B90,"")</f>
        <v/>
      </c>
      <c r="C67" s="50">
        <f>IFERROR(VLOOKUP(A67,'Asset Class Tables and Dropdown'!$A$4:$E$119,2,FALSE),0)</f>
        <v>0</v>
      </c>
      <c r="D67" s="6">
        <f t="shared" si="2"/>
        <v>0</v>
      </c>
      <c r="E67">
        <f t="shared" si="3"/>
        <v>0</v>
      </c>
    </row>
    <row r="68" spans="1:5">
      <c r="A68" t="str">
        <f>IF('Old Investment Proposal'!A91&lt;&gt;0,'Old Investment Proposal'!A91,"")</f>
        <v/>
      </c>
      <c r="B68" s="51" t="str">
        <f>IF('Old Investment Proposal'!B91&lt;&gt;0,'Old Investment Proposal'!B91,"")</f>
        <v/>
      </c>
      <c r="C68" s="50">
        <f>IFERROR(VLOOKUP(A68,'Asset Class Tables and Dropdown'!$A$4:$E$119,2,FALSE),0)</f>
        <v>0</v>
      </c>
      <c r="D68" s="6">
        <f t="shared" si="2"/>
        <v>0</v>
      </c>
      <c r="E68">
        <f t="shared" si="3"/>
        <v>0</v>
      </c>
    </row>
    <row r="69" spans="1:5">
      <c r="A69" t="str">
        <f>IF('Old Investment Proposal'!A92&lt;&gt;0,'Old Investment Proposal'!A92,"")</f>
        <v xml:space="preserve">Total </v>
      </c>
      <c r="B69" s="51" t="str">
        <f>IF('Old Investment Proposal'!B92&lt;&gt;0,'Old Investment Proposal'!B92,"")</f>
        <v/>
      </c>
      <c r="C69" s="50">
        <f>IFERROR(VLOOKUP(A69,'Asset Class Tables and Dropdown'!$A$4:$E$119,2,FALSE),0)</f>
        <v>0</v>
      </c>
      <c r="D69" s="6">
        <f>IFERROR(IF(AND(C69&lt;&gt;"OT",C69&lt;&gt;0),B69/$B$5,0),0)</f>
        <v>0</v>
      </c>
      <c r="E69">
        <f>IF(D69&lt;&gt;0,1,0)</f>
        <v>0</v>
      </c>
    </row>
    <row r="70" spans="1:5" hidden="1">
      <c r="B70" s="51"/>
      <c r="D70" s="6"/>
      <c r="E70" s="62"/>
    </row>
    <row r="71" spans="1:5" s="1" customFormat="1">
      <c r="A71" s="55"/>
      <c r="B71" s="55"/>
      <c r="C71" s="56" t="s">
        <v>506</v>
      </c>
      <c r="D71" s="57">
        <f>SUM(D10:D69)</f>
        <v>1</v>
      </c>
      <c r="E71" s="1">
        <v>1</v>
      </c>
    </row>
    <row r="72" spans="1:5">
      <c r="D72" s="6"/>
    </row>
    <row r="73" spans="1:5">
      <c r="D73" s="6"/>
    </row>
  </sheetData>
  <autoFilter ref="A9:E71" xr:uid="{E1227DD7-A047-4386-AFA5-859E598D52EB}">
    <filterColumn colId="4">
      <filters>
        <filter val="1"/>
        <filter val="0"/>
      </filters>
    </filterColumn>
  </autoFilter>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ThisWorkbook.hide_Rows_Imp">
                <anchor moveWithCells="1" sizeWithCells="1">
                  <from>
                    <xdr:col>7</xdr:col>
                    <xdr:colOff>38100</xdr:colOff>
                    <xdr:row>5</xdr:row>
                    <xdr:rowOff>38100</xdr:rowOff>
                  </from>
                  <to>
                    <xdr:col>10</xdr:col>
                    <xdr:colOff>38100</xdr:colOff>
                    <xdr:row>7</xdr:row>
                    <xdr:rowOff>152400</xdr:rowOff>
                  </to>
                </anchor>
              </controlPr>
            </control>
          </mc:Choice>
        </mc:AlternateContent>
        <mc:AlternateContent xmlns:mc="http://schemas.openxmlformats.org/markup-compatibility/2006">
          <mc:Choice Requires="x14">
            <control shapeId="2050" r:id="rId4" name="Button 2">
              <controlPr defaultSize="0" print="0" autoFill="0" autoPict="0" macro="[0]!ThisWorkbook.unhide_Rows_Imp">
                <anchor moveWithCells="1" sizeWithCells="1">
                  <from>
                    <xdr:col>11</xdr:col>
                    <xdr:colOff>38100</xdr:colOff>
                    <xdr:row>5</xdr:row>
                    <xdr:rowOff>38100</xdr:rowOff>
                  </from>
                  <to>
                    <xdr:col>14</xdr:col>
                    <xdr:colOff>38100</xdr:colOff>
                    <xdr:row>7</xdr:row>
                    <xdr:rowOff>114300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188438-84FE-438B-BA2C-0886A4429C6B}">
  <sheetPr codeName="Sheet7">
    <tabColor theme="3"/>
    <pageSetUpPr fitToPage="1"/>
  </sheetPr>
  <dimension ref="A1:R118"/>
  <sheetViews>
    <sheetView topLeftCell="A7" zoomScale="133" zoomScaleNormal="100" zoomScaleSheetLayoutView="100" workbookViewId="0">
      <selection activeCell="L18" sqref="L18"/>
    </sheetView>
  </sheetViews>
  <sheetFormatPr baseColWidth="10" defaultColWidth="9.1640625" defaultRowHeight="12"/>
  <cols>
    <col min="1" max="1" width="18.33203125" style="48" customWidth="1"/>
    <col min="2" max="2" width="47.1640625" style="47" customWidth="1"/>
    <col min="3" max="3" width="6.6640625" style="47" customWidth="1"/>
    <col min="4" max="10" width="9.1640625" style="47" customWidth="1"/>
    <col min="11" max="11" width="9.1640625" style="90" customWidth="1"/>
    <col min="12" max="12" width="9.33203125" style="47" bestFit="1" customWidth="1"/>
    <col min="13" max="13" width="9.1640625" style="47" customWidth="1"/>
    <col min="14" max="14" width="9.6640625" style="47" customWidth="1"/>
    <col min="15" max="15" width="7.6640625" style="47" customWidth="1"/>
    <col min="16" max="16" width="60.1640625" style="89" customWidth="1"/>
    <col min="17" max="17" width="47.83203125" style="47" customWidth="1"/>
    <col min="18" max="16384" width="9.1640625" style="47"/>
  </cols>
  <sheetData>
    <row r="1" spans="1:17">
      <c r="B1" s="135"/>
    </row>
    <row r="2" spans="1:17">
      <c r="B2" s="135"/>
      <c r="D2" s="138"/>
      <c r="G2" s="137"/>
    </row>
    <row r="3" spans="1:17">
      <c r="B3" s="136"/>
    </row>
    <row r="4" spans="1:17">
      <c r="B4" s="135"/>
    </row>
    <row r="5" spans="1:17">
      <c r="B5" s="135"/>
    </row>
    <row r="6" spans="1:17">
      <c r="B6" s="135"/>
    </row>
    <row r="7" spans="1:17">
      <c r="A7" s="131" t="s">
        <v>507</v>
      </c>
    </row>
    <row r="9" spans="1:17">
      <c r="A9" s="97"/>
      <c r="B9" s="97" t="s">
        <v>132</v>
      </c>
      <c r="C9" s="97" t="s">
        <v>508</v>
      </c>
      <c r="D9" s="102" t="s">
        <v>509</v>
      </c>
      <c r="E9" s="102" t="s">
        <v>510</v>
      </c>
      <c r="F9" s="102" t="s">
        <v>511</v>
      </c>
      <c r="G9" s="102" t="s">
        <v>512</v>
      </c>
      <c r="H9" s="102" t="s">
        <v>513</v>
      </c>
      <c r="I9" s="102" t="s">
        <v>514</v>
      </c>
      <c r="J9" s="102" t="s">
        <v>515</v>
      </c>
      <c r="K9" s="102" t="s">
        <v>416</v>
      </c>
      <c r="L9" s="102" t="s">
        <v>516</v>
      </c>
      <c r="M9" s="102" t="s">
        <v>517</v>
      </c>
      <c r="N9" s="93"/>
      <c r="O9" s="97" t="s">
        <v>518</v>
      </c>
      <c r="P9" s="114" t="s">
        <v>519</v>
      </c>
      <c r="Q9" s="97" t="s">
        <v>520</v>
      </c>
    </row>
    <row r="10" spans="1:17">
      <c r="A10" s="48" t="s">
        <v>521</v>
      </c>
      <c r="B10" s="47" t="s">
        <v>403</v>
      </c>
      <c r="C10" s="47" t="s">
        <v>262</v>
      </c>
      <c r="D10" s="100">
        <v>1.15E-2</v>
      </c>
      <c r="E10" s="100">
        <v>4.6899999999999997E-2</v>
      </c>
      <c r="F10" s="100">
        <v>3.0099999999999998E-2</v>
      </c>
      <c r="G10" s="100">
        <v>0.2039</v>
      </c>
      <c r="H10" s="100">
        <v>0.1749</v>
      </c>
      <c r="I10" s="100">
        <v>8.0600000000000005E-2</v>
      </c>
      <c r="J10" s="100">
        <v>0.1188</v>
      </c>
      <c r="K10" s="112" t="s">
        <v>522</v>
      </c>
      <c r="L10" s="99">
        <v>45271</v>
      </c>
      <c r="M10" s="90" t="s">
        <v>523</v>
      </c>
      <c r="P10" s="165" t="s">
        <v>524</v>
      </c>
      <c r="Q10" s="89"/>
    </row>
    <row r="11" spans="1:17">
      <c r="B11" s="47" t="s">
        <v>353</v>
      </c>
      <c r="C11" s="47" t="s">
        <v>525</v>
      </c>
      <c r="D11" s="100">
        <v>2.8400000000000002E-2</v>
      </c>
      <c r="E11" s="100">
        <v>8.3299999999999999E-2</v>
      </c>
      <c r="F11" s="100">
        <v>7.0400000000000004E-2</v>
      </c>
      <c r="G11" s="100">
        <v>0.23680000000000001</v>
      </c>
      <c r="H11" s="100">
        <v>0.18679999999999999</v>
      </c>
      <c r="I11" s="100">
        <v>0.1234</v>
      </c>
      <c r="J11" s="100">
        <v>0.11360000000000001</v>
      </c>
      <c r="K11" s="112" t="s">
        <v>522</v>
      </c>
      <c r="L11" s="99">
        <v>45271</v>
      </c>
      <c r="M11" s="90" t="s">
        <v>523</v>
      </c>
      <c r="P11" s="165" t="s">
        <v>526</v>
      </c>
      <c r="Q11" s="89"/>
    </row>
    <row r="12" spans="1:17">
      <c r="B12" s="47" t="s">
        <v>381</v>
      </c>
      <c r="C12" s="47" t="s">
        <v>527</v>
      </c>
      <c r="D12" s="100">
        <v>9.7999999999999997E-3</v>
      </c>
      <c r="E12" s="100">
        <v>6.1100000000000002E-2</v>
      </c>
      <c r="F12" s="100">
        <v>3.09E-2</v>
      </c>
      <c r="G12" s="100">
        <v>0.13769999999999999</v>
      </c>
      <c r="H12" s="100">
        <v>0.1205</v>
      </c>
      <c r="I12" s="100">
        <v>3.49E-2</v>
      </c>
      <c r="J12" s="100">
        <v>6.9699999999999998E-2</v>
      </c>
      <c r="K12" s="109">
        <v>2.18E-2</v>
      </c>
      <c r="L12" s="99">
        <v>45271</v>
      </c>
      <c r="M12" s="90" t="s">
        <v>523</v>
      </c>
      <c r="P12" s="165" t="s">
        <v>528</v>
      </c>
      <c r="Q12" s="111" t="s">
        <v>529</v>
      </c>
    </row>
    <row r="13" spans="1:17">
      <c r="B13" s="47" t="s">
        <v>382</v>
      </c>
      <c r="C13" s="47" t="s">
        <v>530</v>
      </c>
      <c r="D13" s="100">
        <v>-1E-3</v>
      </c>
      <c r="E13" s="100">
        <v>2.3199999999999998E-2</v>
      </c>
      <c r="F13" s="100">
        <v>1.2999999999999999E-3</v>
      </c>
      <c r="G13" s="100">
        <v>4.3499999999999997E-2</v>
      </c>
      <c r="H13" s="100">
        <v>2.8899999999999999E-2</v>
      </c>
      <c r="I13" s="100">
        <v>-6.3100000000000003E-2</v>
      </c>
      <c r="J13" s="100">
        <v>1.9599999999999999E-2</v>
      </c>
      <c r="K13" s="112">
        <v>2.2599999999999999E-2</v>
      </c>
      <c r="L13" s="99">
        <v>45271</v>
      </c>
      <c r="M13" s="90" t="s">
        <v>523</v>
      </c>
      <c r="P13" s="165" t="s">
        <v>531</v>
      </c>
      <c r="Q13" s="89"/>
    </row>
    <row r="14" spans="1:17">
      <c r="B14" s="47" t="s">
        <v>380</v>
      </c>
      <c r="C14" s="47" t="s">
        <v>532</v>
      </c>
      <c r="D14" s="100">
        <v>9.4999999999999998E-3</v>
      </c>
      <c r="E14" s="100">
        <v>5.04E-2</v>
      </c>
      <c r="F14" s="100">
        <v>3.0300000000000001E-2</v>
      </c>
      <c r="G14" s="100">
        <v>0.17899999999999999</v>
      </c>
      <c r="H14" s="100">
        <v>0.15459999999999999</v>
      </c>
      <c r="I14" s="100">
        <v>5.4100000000000002E-2</v>
      </c>
      <c r="J14" s="100">
        <v>0.1021</v>
      </c>
      <c r="K14" s="109">
        <v>1.66E-2</v>
      </c>
      <c r="L14" s="99">
        <v>45271</v>
      </c>
      <c r="M14" s="90" t="s">
        <v>523</v>
      </c>
      <c r="P14" s="165" t="s">
        <v>533</v>
      </c>
      <c r="Q14" s="111" t="s">
        <v>534</v>
      </c>
    </row>
    <row r="15" spans="1:17">
      <c r="A15" s="97"/>
      <c r="B15" s="93" t="s">
        <v>402</v>
      </c>
      <c r="C15" s="93" t="s">
        <v>535</v>
      </c>
      <c r="D15" s="96">
        <v>1.6000000000000001E-3</v>
      </c>
      <c r="E15" s="96">
        <v>0.1069</v>
      </c>
      <c r="F15" s="96">
        <v>2.0199999999999999E-2</v>
      </c>
      <c r="G15" s="96">
        <v>8.5599999999999996E-2</v>
      </c>
      <c r="H15" s="96">
        <v>6.4600000000000005E-2</v>
      </c>
      <c r="I15" s="96">
        <v>7.3000000000000001E-3</v>
      </c>
      <c r="J15" s="96">
        <v>6.8699999999999997E-2</v>
      </c>
      <c r="K15" s="119">
        <v>1.5599999999999999E-2</v>
      </c>
      <c r="L15" s="94">
        <v>45271</v>
      </c>
      <c r="M15" s="95" t="s">
        <v>523</v>
      </c>
      <c r="N15" s="93"/>
      <c r="O15" s="93"/>
      <c r="P15" s="117" t="s">
        <v>536</v>
      </c>
      <c r="Q15" s="107"/>
    </row>
    <row r="16" spans="1:17">
      <c r="B16" s="48" t="s">
        <v>537</v>
      </c>
      <c r="C16" s="48"/>
      <c r="D16" s="92">
        <v>9.9666666666666671E-3</v>
      </c>
      <c r="E16" s="92">
        <v>6.1966666666666663E-2</v>
      </c>
      <c r="F16" s="92">
        <v>3.0533333333333332E-2</v>
      </c>
      <c r="G16" s="92">
        <v>0.14774999999999999</v>
      </c>
      <c r="H16" s="92">
        <v>0.12171666666666665</v>
      </c>
      <c r="I16" s="92">
        <v>3.9533333333333337E-2</v>
      </c>
      <c r="J16" s="92">
        <v>8.2083333333333328E-2</v>
      </c>
      <c r="K16" s="122">
        <v>1.915E-2</v>
      </c>
      <c r="L16" s="99"/>
      <c r="M16" s="90"/>
      <c r="P16" s="132"/>
      <c r="Q16" s="89"/>
    </row>
    <row r="17" spans="1:17">
      <c r="D17" s="100"/>
      <c r="E17" s="100"/>
      <c r="F17" s="100"/>
      <c r="G17" s="100"/>
      <c r="H17" s="100"/>
      <c r="I17" s="100"/>
      <c r="J17" s="100"/>
      <c r="K17" s="109"/>
      <c r="L17" s="99"/>
      <c r="M17" s="90"/>
      <c r="P17" s="132"/>
      <c r="Q17" s="89"/>
    </row>
    <row r="18" spans="1:17" ht="11.25" customHeight="1">
      <c r="A18" s="97"/>
      <c r="B18" s="97" t="s">
        <v>132</v>
      </c>
      <c r="C18" s="97" t="s">
        <v>508</v>
      </c>
      <c r="D18" s="102" t="s">
        <v>509</v>
      </c>
      <c r="E18" s="102" t="s">
        <v>510</v>
      </c>
      <c r="F18" s="102" t="s">
        <v>511</v>
      </c>
      <c r="G18" s="102" t="s">
        <v>512</v>
      </c>
      <c r="H18" s="102" t="s">
        <v>513</v>
      </c>
      <c r="I18" s="102" t="s">
        <v>514</v>
      </c>
      <c r="J18" s="102" t="s">
        <v>515</v>
      </c>
      <c r="K18" s="102" t="s">
        <v>416</v>
      </c>
      <c r="L18" s="102" t="s">
        <v>516</v>
      </c>
      <c r="M18" s="102" t="s">
        <v>517</v>
      </c>
      <c r="N18" s="93"/>
      <c r="O18" s="97" t="s">
        <v>518</v>
      </c>
      <c r="P18" s="101"/>
      <c r="Q18" s="107"/>
    </row>
    <row r="19" spans="1:17">
      <c r="A19" s="48" t="s">
        <v>538</v>
      </c>
      <c r="B19" s="47" t="s">
        <v>336</v>
      </c>
      <c r="C19" s="47" t="s">
        <v>539</v>
      </c>
      <c r="D19" s="100">
        <v>-4.7157067419869865E-2</v>
      </c>
      <c r="E19" s="100">
        <v>-0.13692992213570634</v>
      </c>
      <c r="F19" s="100">
        <v>-2.254976064499864E-2</v>
      </c>
      <c r="G19" s="100">
        <v>-9.6845536026073722E-2</v>
      </c>
      <c r="H19" s="100">
        <v>-0.16444109412018088</v>
      </c>
      <c r="I19" s="100">
        <v>0.25180995475113122</v>
      </c>
      <c r="J19" s="100">
        <v>4.8168878938109713E-2</v>
      </c>
      <c r="K19" s="112" t="s">
        <v>522</v>
      </c>
      <c r="L19" s="99">
        <v>45274</v>
      </c>
      <c r="M19" s="90" t="s">
        <v>523</v>
      </c>
      <c r="P19" s="111" t="s">
        <v>540</v>
      </c>
    </row>
    <row r="20" spans="1:17">
      <c r="A20" s="97"/>
      <c r="B20" s="93" t="s">
        <v>414</v>
      </c>
      <c r="C20" s="93" t="s">
        <v>541</v>
      </c>
      <c r="D20" s="96">
        <v>-3.3205450456409644E-2</v>
      </c>
      <c r="E20" s="96">
        <v>-0.15670436187399028</v>
      </c>
      <c r="F20" s="96">
        <v>-7.9365079365079333E-2</v>
      </c>
      <c r="G20" s="96">
        <v>-5.0045495905368623E-2</v>
      </c>
      <c r="H20" s="96">
        <v>-0.14973821989528802</v>
      </c>
      <c r="I20" s="96">
        <v>0.25407925407925408</v>
      </c>
      <c r="J20" s="96">
        <v>8.988496628322093E-2</v>
      </c>
      <c r="K20" s="119" t="s">
        <v>522</v>
      </c>
      <c r="L20" s="94">
        <v>45274</v>
      </c>
      <c r="M20" s="95" t="s">
        <v>523</v>
      </c>
      <c r="N20" s="93"/>
      <c r="O20" s="93"/>
      <c r="P20" s="140" t="s">
        <v>542</v>
      </c>
    </row>
    <row r="21" spans="1:17">
      <c r="B21" s="48" t="s">
        <v>537</v>
      </c>
      <c r="C21" s="48"/>
      <c r="D21" s="92">
        <v>-4.0181258938139758E-2</v>
      </c>
      <c r="E21" s="92">
        <v>-0.1468171420048483</v>
      </c>
      <c r="F21" s="92">
        <v>-5.0957420005038986E-2</v>
      </c>
      <c r="G21" s="92">
        <v>-7.3445515965721173E-2</v>
      </c>
      <c r="H21" s="92">
        <v>-0.15708965700773445</v>
      </c>
      <c r="I21" s="92">
        <v>0.25294460441519262</v>
      </c>
      <c r="J21" s="92">
        <v>6.9026922610665314E-2</v>
      </c>
      <c r="K21" s="109"/>
      <c r="L21" s="99"/>
      <c r="M21" s="90"/>
      <c r="P21" s="121"/>
      <c r="Q21" s="89"/>
    </row>
    <row r="22" spans="1:17">
      <c r="D22" s="100"/>
      <c r="E22" s="100"/>
      <c r="F22" s="100"/>
      <c r="G22" s="100"/>
      <c r="H22" s="100"/>
      <c r="I22" s="100"/>
      <c r="J22" s="100"/>
      <c r="K22" s="109"/>
      <c r="L22" s="99"/>
      <c r="M22" s="90"/>
      <c r="P22" s="121"/>
      <c r="Q22" s="89"/>
    </row>
    <row r="23" spans="1:17">
      <c r="A23" s="97"/>
      <c r="B23" s="97" t="s">
        <v>132</v>
      </c>
      <c r="C23" s="97" t="s">
        <v>508</v>
      </c>
      <c r="D23" s="102" t="s">
        <v>509</v>
      </c>
      <c r="E23" s="102" t="s">
        <v>510</v>
      </c>
      <c r="F23" s="102" t="s">
        <v>511</v>
      </c>
      <c r="G23" s="102" t="s">
        <v>512</v>
      </c>
      <c r="H23" s="102" t="s">
        <v>513</v>
      </c>
      <c r="I23" s="102" t="s">
        <v>514</v>
      </c>
      <c r="J23" s="102" t="s">
        <v>515</v>
      </c>
      <c r="K23" s="102" t="s">
        <v>416</v>
      </c>
      <c r="L23" s="102" t="s">
        <v>516</v>
      </c>
      <c r="M23" s="102" t="s">
        <v>517</v>
      </c>
      <c r="N23" s="93"/>
      <c r="O23" s="97" t="s">
        <v>518</v>
      </c>
      <c r="P23" s="107"/>
      <c r="Q23" s="107"/>
    </row>
    <row r="24" spans="1:17">
      <c r="A24" s="48" t="s">
        <v>543</v>
      </c>
      <c r="B24" s="47" t="s">
        <v>360</v>
      </c>
      <c r="C24" s="47" t="s">
        <v>544</v>
      </c>
      <c r="D24" s="100">
        <v>-7.1999999999999998E-3</v>
      </c>
      <c r="E24" s="100">
        <v>0.10199999999999999</v>
      </c>
      <c r="F24" s="100">
        <v>1.77E-2</v>
      </c>
      <c r="G24" s="100">
        <v>3.09E-2</v>
      </c>
      <c r="H24" s="100">
        <v>-2.3400000000000001E-2</v>
      </c>
      <c r="I24" s="112" t="s">
        <v>522</v>
      </c>
      <c r="J24" s="112" t="s">
        <v>522</v>
      </c>
      <c r="K24" s="109" t="s">
        <v>522</v>
      </c>
      <c r="L24" s="99">
        <v>45271</v>
      </c>
      <c r="M24" s="90" t="s">
        <v>523</v>
      </c>
      <c r="P24" s="165" t="s">
        <v>545</v>
      </c>
      <c r="Q24" s="89"/>
    </row>
    <row r="25" spans="1:17">
      <c r="D25" s="100"/>
      <c r="E25" s="100"/>
      <c r="F25" s="100"/>
      <c r="G25" s="100"/>
      <c r="H25" s="100"/>
      <c r="I25" s="100"/>
      <c r="J25" s="100"/>
      <c r="K25" s="109"/>
      <c r="L25" s="99"/>
      <c r="M25" s="90"/>
      <c r="P25" s="121"/>
      <c r="Q25" s="89"/>
    </row>
    <row r="26" spans="1:17">
      <c r="D26" s="129" t="s">
        <v>546</v>
      </c>
      <c r="E26" s="129" t="s">
        <v>547</v>
      </c>
      <c r="F26" s="129" t="s">
        <v>548</v>
      </c>
      <c r="G26" s="129" t="s">
        <v>549</v>
      </c>
      <c r="L26" s="99"/>
      <c r="P26" s="121"/>
      <c r="Q26" s="89"/>
    </row>
    <row r="27" spans="1:17">
      <c r="A27" s="97"/>
      <c r="B27" s="93" t="s">
        <v>383</v>
      </c>
      <c r="C27" s="93" t="s">
        <v>550</v>
      </c>
      <c r="D27" s="96">
        <v>-3.5000000000000003E-2</v>
      </c>
      <c r="E27" s="96">
        <v>-1.8100000000000002E-2</v>
      </c>
      <c r="F27" s="96">
        <v>-1.9800000000000002E-2</v>
      </c>
      <c r="G27" s="96">
        <v>-1.37E-2</v>
      </c>
      <c r="H27" s="93"/>
      <c r="I27" s="93"/>
      <c r="J27" s="93"/>
      <c r="K27" s="95"/>
      <c r="L27" s="94">
        <v>45246</v>
      </c>
      <c r="M27" s="95" t="s">
        <v>551</v>
      </c>
      <c r="N27" s="93"/>
      <c r="O27" s="93"/>
      <c r="P27" s="117" t="s">
        <v>552</v>
      </c>
      <c r="Q27" s="93"/>
    </row>
    <row r="28" spans="1:17">
      <c r="B28" s="48" t="s">
        <v>537</v>
      </c>
      <c r="C28" s="48"/>
      <c r="D28" s="48"/>
      <c r="E28" s="48"/>
      <c r="F28" s="48"/>
      <c r="G28" s="92">
        <v>8.6E-3</v>
      </c>
      <c r="H28" s="48"/>
      <c r="I28" s="48"/>
      <c r="J28" s="48"/>
      <c r="K28" s="129"/>
      <c r="L28" s="48"/>
      <c r="M28" s="48"/>
      <c r="P28" s="132"/>
    </row>
    <row r="29" spans="1:17">
      <c r="B29" s="48"/>
      <c r="C29" s="48"/>
      <c r="D29" s="48"/>
      <c r="E29" s="48"/>
      <c r="F29" s="48"/>
      <c r="G29" s="92"/>
      <c r="H29" s="48"/>
      <c r="I29" s="48"/>
      <c r="J29" s="48"/>
      <c r="K29" s="129"/>
      <c r="L29" s="48"/>
      <c r="M29" s="48"/>
      <c r="P29" s="132"/>
    </row>
    <row r="30" spans="1:17">
      <c r="B30" s="97" t="s">
        <v>132</v>
      </c>
      <c r="C30" s="97" t="s">
        <v>508</v>
      </c>
      <c r="D30" s="102" t="s">
        <v>509</v>
      </c>
      <c r="E30" s="102" t="s">
        <v>510</v>
      </c>
      <c r="F30" s="102" t="s">
        <v>511</v>
      </c>
      <c r="G30" s="102" t="s">
        <v>512</v>
      </c>
      <c r="H30" s="102" t="s">
        <v>513</v>
      </c>
      <c r="I30" s="102" t="s">
        <v>514</v>
      </c>
      <c r="J30" s="102" t="s">
        <v>515</v>
      </c>
      <c r="K30" s="102" t="s">
        <v>416</v>
      </c>
      <c r="L30" s="102" t="s">
        <v>516</v>
      </c>
      <c r="M30" s="102" t="s">
        <v>517</v>
      </c>
      <c r="N30" s="93"/>
      <c r="O30" s="97" t="s">
        <v>518</v>
      </c>
      <c r="P30" s="101"/>
      <c r="Q30" s="93"/>
    </row>
    <row r="31" spans="1:17">
      <c r="A31" s="105" t="s">
        <v>553</v>
      </c>
      <c r="B31" s="47" t="s">
        <v>316</v>
      </c>
      <c r="C31" s="47" t="s">
        <v>234</v>
      </c>
      <c r="D31" s="109">
        <v>0.1336</v>
      </c>
      <c r="E31" s="109">
        <v>0.13339999999999999</v>
      </c>
      <c r="F31" s="109">
        <v>0.2762</v>
      </c>
      <c r="G31" s="109">
        <v>1.0751999999999999</v>
      </c>
      <c r="H31" s="109">
        <v>0.95960000000000001</v>
      </c>
      <c r="I31" s="109">
        <v>0.1361</v>
      </c>
      <c r="J31" s="109">
        <v>0.46410000000000001</v>
      </c>
      <c r="K31" s="112">
        <v>0</v>
      </c>
      <c r="L31" s="253">
        <v>45271</v>
      </c>
      <c r="M31" s="90" t="s">
        <v>523</v>
      </c>
      <c r="O31" s="48"/>
      <c r="P31" s="98" t="s">
        <v>554</v>
      </c>
    </row>
    <row r="32" spans="1:17">
      <c r="A32" s="47"/>
      <c r="B32" s="47" t="s">
        <v>317</v>
      </c>
      <c r="C32" s="47" t="s">
        <v>235</v>
      </c>
      <c r="D32" s="109">
        <v>2.7699999999999999E-2</v>
      </c>
      <c r="E32" s="109">
        <v>0.16270000000000001</v>
      </c>
      <c r="F32" s="109">
        <v>-2.63E-2</v>
      </c>
      <c r="G32" s="109">
        <v>7.8600000000000003E-2</v>
      </c>
      <c r="H32" s="109">
        <v>1.4E-2</v>
      </c>
      <c r="I32" s="109">
        <v>-6.9900000000000004E-2</v>
      </c>
      <c r="J32" s="109">
        <v>-0.1605</v>
      </c>
      <c r="K32" s="112">
        <v>0</v>
      </c>
      <c r="L32" s="253">
        <v>45271</v>
      </c>
      <c r="M32" s="90" t="s">
        <v>523</v>
      </c>
      <c r="P32" s="166" t="s">
        <v>555</v>
      </c>
    </row>
    <row r="33" spans="1:17">
      <c r="B33" s="47" t="s">
        <v>321</v>
      </c>
      <c r="C33" s="47" t="s">
        <v>236</v>
      </c>
      <c r="D33" s="109">
        <v>1.01E-2</v>
      </c>
      <c r="E33" s="109">
        <v>2.29E-2</v>
      </c>
      <c r="F33" s="109">
        <v>4.7399999999999998E-2</v>
      </c>
      <c r="G33" s="109">
        <v>0.1641</v>
      </c>
      <c r="H33" s="109">
        <v>0.1487</v>
      </c>
      <c r="I33" s="109">
        <v>0.14349999999999999</v>
      </c>
      <c r="J33" s="109">
        <v>0.11700000000000001</v>
      </c>
      <c r="K33" s="109">
        <v>9.5699999999999993E-2</v>
      </c>
      <c r="L33" s="253">
        <v>45271</v>
      </c>
      <c r="M33" s="90" t="s">
        <v>523</v>
      </c>
      <c r="P33" s="165" t="s">
        <v>556</v>
      </c>
      <c r="Q33" s="89"/>
    </row>
    <row r="34" spans="1:17">
      <c r="B34" s="47" t="s">
        <v>324</v>
      </c>
      <c r="C34" s="47" t="s">
        <v>237</v>
      </c>
      <c r="D34" s="109">
        <v>1.66E-2</v>
      </c>
      <c r="E34" s="109">
        <v>0.22950000000000001</v>
      </c>
      <c r="F34" s="109">
        <v>0.17510000000000001</v>
      </c>
      <c r="G34" s="109">
        <v>0.76100000000000001</v>
      </c>
      <c r="H34" s="109">
        <v>0.64680000000000004</v>
      </c>
      <c r="I34" s="109">
        <v>-0.19339999999999999</v>
      </c>
      <c r="J34" s="112" t="s">
        <v>557</v>
      </c>
      <c r="K34" s="112">
        <v>0</v>
      </c>
      <c r="L34" s="253">
        <v>45271</v>
      </c>
      <c r="M34" s="90" t="s">
        <v>523</v>
      </c>
      <c r="P34" s="165" t="s">
        <v>558</v>
      </c>
      <c r="Q34" s="89"/>
    </row>
    <row r="35" spans="1:17">
      <c r="B35" s="47" t="s">
        <v>339</v>
      </c>
      <c r="C35" s="47" t="s">
        <v>240</v>
      </c>
      <c r="D35" s="109">
        <v>-2.6499999999999999E-2</v>
      </c>
      <c r="E35" s="109">
        <v>0.38169999999999998</v>
      </c>
      <c r="F35" s="109">
        <v>0.1389</v>
      </c>
      <c r="G35" s="109">
        <v>1.1873</v>
      </c>
      <c r="H35" s="109">
        <v>0.98760000000000003</v>
      </c>
      <c r="I35" s="109">
        <v>-6.1400000000000003E-2</v>
      </c>
      <c r="J35" s="109">
        <v>-0.18529999999999999</v>
      </c>
      <c r="K35" s="112">
        <v>0</v>
      </c>
      <c r="L35" s="253">
        <v>45271</v>
      </c>
      <c r="M35" s="90" t="s">
        <v>523</v>
      </c>
      <c r="P35" s="165" t="s">
        <v>559</v>
      </c>
      <c r="Q35" s="89"/>
    </row>
    <row r="36" spans="1:17">
      <c r="B36" s="47" t="s">
        <v>347</v>
      </c>
      <c r="C36" s="47" t="s">
        <v>239</v>
      </c>
      <c r="D36" s="109">
        <v>4.0399999999999998E-2</v>
      </c>
      <c r="E36" s="109">
        <v>0.2581</v>
      </c>
      <c r="F36" s="109">
        <v>0.4335</v>
      </c>
      <c r="G36" s="109">
        <v>1.3455999999999999</v>
      </c>
      <c r="H36" s="109">
        <v>1.1460999999999999</v>
      </c>
      <c r="I36" s="109">
        <v>0.1197</v>
      </c>
      <c r="J36" s="112" t="s">
        <v>557</v>
      </c>
      <c r="K36" s="112">
        <v>0</v>
      </c>
      <c r="L36" s="253">
        <v>45271</v>
      </c>
      <c r="M36" s="90" t="s">
        <v>523</v>
      </c>
      <c r="P36" s="165" t="s">
        <v>560</v>
      </c>
      <c r="Q36" s="89"/>
    </row>
    <row r="37" spans="1:17">
      <c r="B37" s="47" t="s">
        <v>348</v>
      </c>
      <c r="C37" s="47" t="s">
        <v>561</v>
      </c>
      <c r="D37" s="109">
        <v>6.1600000000000002E-2</v>
      </c>
      <c r="E37" s="109">
        <v>0.18940000000000001</v>
      </c>
      <c r="F37" s="109">
        <v>-5.5999999999999999E-3</v>
      </c>
      <c r="G37" s="109">
        <v>0.2389</v>
      </c>
      <c r="H37" s="109">
        <v>0.2044</v>
      </c>
      <c r="I37" s="109">
        <v>-8.3000000000000001E-3</v>
      </c>
      <c r="J37" s="109">
        <v>-5.28E-2</v>
      </c>
      <c r="K37" s="109">
        <v>5.0000000000000001E-3</v>
      </c>
      <c r="L37" s="253">
        <v>45271</v>
      </c>
      <c r="M37" s="90" t="s">
        <v>523</v>
      </c>
      <c r="P37" s="165" t="s">
        <v>562</v>
      </c>
      <c r="Q37" s="89"/>
    </row>
    <row r="38" spans="1:17">
      <c r="B38" s="47" t="s">
        <v>357</v>
      </c>
      <c r="C38" s="47" t="s">
        <v>242</v>
      </c>
      <c r="D38" s="109">
        <v>1.6E-2</v>
      </c>
      <c r="E38" s="109">
        <v>2.7699999999999999E-2</v>
      </c>
      <c r="F38" s="109">
        <v>2.1299999999999999E-2</v>
      </c>
      <c r="G38" s="109">
        <v>0.28970000000000001</v>
      </c>
      <c r="H38" s="109">
        <v>0.23930000000000001</v>
      </c>
      <c r="I38" s="109">
        <v>0.14399999999999999</v>
      </c>
      <c r="J38" s="109">
        <v>7.5300000000000006E-2</v>
      </c>
      <c r="K38" s="109">
        <v>0.13389999999999999</v>
      </c>
      <c r="L38" s="253">
        <v>45271</v>
      </c>
      <c r="M38" s="90" t="s">
        <v>523</v>
      </c>
      <c r="P38" s="167" t="s">
        <v>563</v>
      </c>
    </row>
    <row r="39" spans="1:17">
      <c r="B39" s="47" t="s">
        <v>359</v>
      </c>
      <c r="C39" s="47" t="s">
        <v>222</v>
      </c>
      <c r="D39" s="109">
        <v>2.8500000000000001E-2</v>
      </c>
      <c r="E39" s="109">
        <v>7.5200000000000003E-2</v>
      </c>
      <c r="F39" s="109">
        <v>2.0500000000000001E-2</v>
      </c>
      <c r="G39" s="109">
        <v>6.3600000000000004E-2</v>
      </c>
      <c r="H39" s="109">
        <v>2.4199999999999999E-2</v>
      </c>
      <c r="I39" s="109">
        <v>7.4999999999999997E-2</v>
      </c>
      <c r="J39" s="112">
        <v>9.7100000000000006E-2</v>
      </c>
      <c r="K39" s="112">
        <v>6.4299999999999996E-2</v>
      </c>
      <c r="L39" s="253">
        <v>45273</v>
      </c>
      <c r="M39" s="90" t="s">
        <v>523</v>
      </c>
      <c r="P39" s="165" t="s">
        <v>564</v>
      </c>
    </row>
    <row r="40" spans="1:17">
      <c r="B40" s="47" t="s">
        <v>354</v>
      </c>
      <c r="C40" s="47" t="s">
        <v>243</v>
      </c>
      <c r="D40" s="109">
        <v>6.1999999999999998E-3</v>
      </c>
      <c r="E40" s="109">
        <v>7.85E-2</v>
      </c>
      <c r="F40" s="109">
        <v>4.7300000000000002E-2</v>
      </c>
      <c r="G40" s="109">
        <v>0.14180000000000001</v>
      </c>
      <c r="H40" s="109">
        <v>0.12239999999999999</v>
      </c>
      <c r="I40" s="109">
        <v>0.1026</v>
      </c>
      <c r="J40" s="112">
        <v>0.14330000000000001</v>
      </c>
      <c r="K40" s="112">
        <v>2.3099999999999999E-2</v>
      </c>
      <c r="L40" s="253">
        <v>45271</v>
      </c>
      <c r="M40" s="90" t="s">
        <v>523</v>
      </c>
      <c r="P40" s="165" t="s">
        <v>565</v>
      </c>
    </row>
    <row r="41" spans="1:17">
      <c r="B41" s="47" t="s">
        <v>361</v>
      </c>
      <c r="C41" s="47" t="s">
        <v>244</v>
      </c>
      <c r="D41" s="109">
        <v>6.0000000000000001E-3</v>
      </c>
      <c r="E41" s="109">
        <v>2.5100000000000001E-2</v>
      </c>
      <c r="F41" s="109">
        <v>5.3699999999999998E-2</v>
      </c>
      <c r="G41" s="109">
        <v>0.23019999999999999</v>
      </c>
      <c r="H41" s="109">
        <v>0.22839999999999999</v>
      </c>
      <c r="I41" s="109">
        <v>0.10580000000000001</v>
      </c>
      <c r="J41" s="109">
        <v>4.4400000000000002E-2</v>
      </c>
      <c r="K41" s="109">
        <v>9.5699999999999993E-2</v>
      </c>
      <c r="L41" s="253">
        <v>45271</v>
      </c>
      <c r="M41" s="90" t="s">
        <v>523</v>
      </c>
      <c r="P41" s="165" t="s">
        <v>566</v>
      </c>
      <c r="Q41" s="89"/>
    </row>
    <row r="42" spans="1:17">
      <c r="B42" s="47" t="s">
        <v>377</v>
      </c>
      <c r="C42" s="47" t="s">
        <v>252</v>
      </c>
      <c r="D42" s="109">
        <v>1.1599999999999999E-2</v>
      </c>
      <c r="E42" s="109">
        <v>5.0200000000000002E-2</v>
      </c>
      <c r="F42" s="109">
        <v>5.9299999999999999E-2</v>
      </c>
      <c r="G42" s="109">
        <v>0.23169999999999999</v>
      </c>
      <c r="H42" s="109">
        <v>0.24210000000000001</v>
      </c>
      <c r="I42" s="109">
        <v>0.1762</v>
      </c>
      <c r="J42" s="109">
        <v>8.6599999999999996E-2</v>
      </c>
      <c r="K42" s="109">
        <v>6.4000000000000001E-2</v>
      </c>
      <c r="L42" s="253">
        <v>45271</v>
      </c>
      <c r="M42" s="90" t="s">
        <v>523</v>
      </c>
      <c r="P42" s="167" t="s">
        <v>567</v>
      </c>
      <c r="Q42" s="89"/>
    </row>
    <row r="43" spans="1:17">
      <c r="B43" s="47" t="s">
        <v>378</v>
      </c>
      <c r="C43" s="47" t="s">
        <v>254</v>
      </c>
      <c r="D43" s="109">
        <v>8.8000000000000005E-3</v>
      </c>
      <c r="E43" s="109">
        <v>4.48E-2</v>
      </c>
      <c r="F43" s="109">
        <v>4.0099999999999997E-2</v>
      </c>
      <c r="G43" s="109">
        <v>0.30609999999999998</v>
      </c>
      <c r="H43" s="109">
        <v>0.26119999999999999</v>
      </c>
      <c r="I43" s="109">
        <v>0.1711</v>
      </c>
      <c r="J43" s="109">
        <v>8.0399999999999999E-2</v>
      </c>
      <c r="K43" s="109">
        <v>0.1137</v>
      </c>
      <c r="L43" s="253">
        <v>45271</v>
      </c>
      <c r="M43" s="90" t="s">
        <v>523</v>
      </c>
      <c r="P43" s="167" t="s">
        <v>568</v>
      </c>
      <c r="Q43" s="89"/>
    </row>
    <row r="44" spans="1:17">
      <c r="B44" s="47" t="s">
        <v>327</v>
      </c>
      <c r="C44" s="47" t="s">
        <v>569</v>
      </c>
      <c r="D44" s="109">
        <v>7.4999999999999997E-3</v>
      </c>
      <c r="E44" s="109">
        <v>4.2500000000000003E-2</v>
      </c>
      <c r="F44" s="109">
        <v>0.1244</v>
      </c>
      <c r="G44" s="112">
        <v>0.39479999999999998</v>
      </c>
      <c r="H44" s="112">
        <v>0.32790000000000002</v>
      </c>
      <c r="I44" s="112">
        <v>0.1416</v>
      </c>
      <c r="J44" s="112" t="s">
        <v>557</v>
      </c>
      <c r="K44" s="109">
        <v>7.1999999999999995E-2</v>
      </c>
      <c r="L44" s="253">
        <v>45271</v>
      </c>
      <c r="M44" s="90" t="s">
        <v>523</v>
      </c>
      <c r="P44" s="167" t="s">
        <v>570</v>
      </c>
      <c r="Q44" s="89"/>
    </row>
    <row r="45" spans="1:17">
      <c r="B45" s="47" t="s">
        <v>406</v>
      </c>
      <c r="C45" s="47" t="s">
        <v>229</v>
      </c>
      <c r="D45" s="109">
        <v>6.1999999999999998E-3</v>
      </c>
      <c r="E45" s="109">
        <v>2.3199999999999998E-2</v>
      </c>
      <c r="F45" s="109">
        <v>5.5100000000000003E-2</v>
      </c>
      <c r="G45" s="112">
        <v>0.27700000000000002</v>
      </c>
      <c r="H45" s="112">
        <v>0.26600000000000001</v>
      </c>
      <c r="I45" s="112">
        <v>0.1089</v>
      </c>
      <c r="J45" s="112">
        <v>0.1065</v>
      </c>
      <c r="K45" s="109">
        <v>4.9799999999999997E-2</v>
      </c>
      <c r="L45" s="253">
        <v>45271</v>
      </c>
      <c r="M45" s="90" t="s">
        <v>523</v>
      </c>
      <c r="P45" s="123" t="s">
        <v>571</v>
      </c>
      <c r="Q45" s="89"/>
    </row>
    <row r="46" spans="1:17">
      <c r="B46" s="47" t="s">
        <v>412</v>
      </c>
      <c r="C46" s="47" t="s">
        <v>264</v>
      </c>
      <c r="D46" s="109">
        <v>4.0599999999999997E-2</v>
      </c>
      <c r="E46" s="109">
        <v>3.5999999999999997E-2</v>
      </c>
      <c r="F46" s="109">
        <v>0.13189999999999999</v>
      </c>
      <c r="G46" s="112">
        <v>0.37340000000000001</v>
      </c>
      <c r="H46" s="112">
        <v>0.27339999999999998</v>
      </c>
      <c r="I46" s="112">
        <v>5.4999999999999997E-3</v>
      </c>
      <c r="J46" s="112">
        <v>0.24340000000000001</v>
      </c>
      <c r="K46" s="109">
        <v>1.78E-2</v>
      </c>
      <c r="L46" s="253">
        <v>45271</v>
      </c>
      <c r="M46" s="90" t="s">
        <v>523</v>
      </c>
      <c r="P46" s="123" t="s">
        <v>572</v>
      </c>
      <c r="Q46" s="89"/>
    </row>
    <row r="47" spans="1:17">
      <c r="A47" s="97"/>
      <c r="B47" s="93" t="s">
        <v>129</v>
      </c>
      <c r="C47" s="93" t="s">
        <v>109</v>
      </c>
      <c r="D47" s="120">
        <v>3.6400000000000002E-2</v>
      </c>
      <c r="E47" s="120">
        <v>0.17380000000000001</v>
      </c>
      <c r="F47" s="120">
        <v>0.24490000000000001</v>
      </c>
      <c r="G47" s="119">
        <v>0.83620000000000005</v>
      </c>
      <c r="H47" s="119">
        <v>0.753</v>
      </c>
      <c r="I47" s="119">
        <v>4.1399999999999999E-2</v>
      </c>
      <c r="J47" s="119">
        <v>0.38890000000000002</v>
      </c>
      <c r="K47" s="119" t="s">
        <v>522</v>
      </c>
      <c r="L47" s="254">
        <v>45271</v>
      </c>
      <c r="M47" s="95" t="s">
        <v>523</v>
      </c>
      <c r="N47" s="93"/>
      <c r="O47" s="93"/>
      <c r="P47" s="118" t="s">
        <v>573</v>
      </c>
      <c r="Q47" s="107"/>
    </row>
    <row r="48" spans="1:17">
      <c r="B48" s="48" t="s">
        <v>537</v>
      </c>
      <c r="C48" s="48"/>
      <c r="D48" s="122">
        <v>2.5370588235294117E-2</v>
      </c>
      <c r="E48" s="122">
        <v>0.11498235294117647</v>
      </c>
      <c r="F48" s="122">
        <v>0.10809999999999999</v>
      </c>
      <c r="G48" s="122">
        <v>0.47030588235294113</v>
      </c>
      <c r="H48" s="122">
        <v>0.40265294117647044</v>
      </c>
      <c r="I48" s="122">
        <v>6.6964705882352954E-2</v>
      </c>
      <c r="J48" s="122">
        <v>0.10345714285714287</v>
      </c>
      <c r="K48" s="122">
        <v>4.5937499999999992E-2</v>
      </c>
      <c r="L48" s="134"/>
      <c r="M48" s="129"/>
      <c r="P48" s="121"/>
      <c r="Q48" s="89"/>
    </row>
    <row r="49" spans="1:18">
      <c r="D49" s="109"/>
      <c r="E49" s="109"/>
      <c r="F49" s="109"/>
      <c r="G49" s="109"/>
      <c r="H49" s="109"/>
      <c r="I49" s="109"/>
      <c r="J49" s="109"/>
      <c r="K49" s="109"/>
      <c r="L49" s="91"/>
      <c r="M49" s="90"/>
      <c r="P49" s="121"/>
      <c r="Q49" s="89"/>
    </row>
    <row r="50" spans="1:18">
      <c r="A50" s="93"/>
      <c r="B50" s="97" t="s">
        <v>132</v>
      </c>
      <c r="C50" s="97" t="s">
        <v>508</v>
      </c>
      <c r="D50" s="102" t="s">
        <v>509</v>
      </c>
      <c r="E50" s="102" t="s">
        <v>510</v>
      </c>
      <c r="F50" s="102" t="s">
        <v>511</v>
      </c>
      <c r="G50" s="102" t="s">
        <v>512</v>
      </c>
      <c r="H50" s="102" t="s">
        <v>513</v>
      </c>
      <c r="I50" s="102" t="s">
        <v>514</v>
      </c>
      <c r="J50" s="102" t="s">
        <v>515</v>
      </c>
      <c r="K50" s="102" t="s">
        <v>416</v>
      </c>
      <c r="L50" s="102" t="s">
        <v>516</v>
      </c>
      <c r="M50" s="102" t="s">
        <v>517</v>
      </c>
      <c r="N50" s="93"/>
      <c r="O50" s="97" t="s">
        <v>518</v>
      </c>
      <c r="P50" s="107"/>
      <c r="Q50" s="93"/>
    </row>
    <row r="51" spans="1:18" ht="13" customHeight="1">
      <c r="A51" s="47"/>
      <c r="B51" s="47" t="s">
        <v>345</v>
      </c>
      <c r="C51" s="47" t="s">
        <v>574</v>
      </c>
      <c r="D51" s="109">
        <v>6.3E-3</v>
      </c>
      <c r="E51" s="109">
        <v>2.3699999999999999E-2</v>
      </c>
      <c r="F51" s="109">
        <v>2.0500000000000001E-2</v>
      </c>
      <c r="G51" s="109">
        <v>8.2699999999999996E-2</v>
      </c>
      <c r="H51" s="109">
        <v>6.9199999999999998E-2</v>
      </c>
      <c r="I51" s="109">
        <v>0.03</v>
      </c>
      <c r="J51" s="112">
        <v>5.33E-2</v>
      </c>
      <c r="K51" s="112">
        <v>5.9400000000000001E-2</v>
      </c>
      <c r="L51" s="253">
        <v>45273</v>
      </c>
      <c r="M51" s="90" t="s">
        <v>523</v>
      </c>
      <c r="P51" s="165" t="s">
        <v>575</v>
      </c>
      <c r="Q51" s="89"/>
    </row>
    <row r="52" spans="1:18">
      <c r="B52" s="47" t="s">
        <v>363</v>
      </c>
      <c r="C52" s="47" t="s">
        <v>466</v>
      </c>
      <c r="D52" s="109">
        <v>2.92E-2</v>
      </c>
      <c r="E52" s="109">
        <v>9.1899999999999996E-2</v>
      </c>
      <c r="F52" s="109">
        <v>2.53E-2</v>
      </c>
      <c r="G52" s="109">
        <v>9.0399999999999994E-2</v>
      </c>
      <c r="H52" s="109">
        <v>4.9000000000000002E-2</v>
      </c>
      <c r="I52" s="109">
        <v>-0.1183</v>
      </c>
      <c r="J52" s="109">
        <v>1.7299999999999999E-2</v>
      </c>
      <c r="K52" s="112">
        <v>0</v>
      </c>
      <c r="L52" s="253">
        <v>45271</v>
      </c>
      <c r="M52" s="90" t="s">
        <v>523</v>
      </c>
      <c r="P52" s="165" t="s">
        <v>576</v>
      </c>
    </row>
    <row r="53" spans="1:18">
      <c r="B53" s="47" t="s">
        <v>365</v>
      </c>
      <c r="C53" s="47" t="s">
        <v>442</v>
      </c>
      <c r="D53" s="109">
        <v>-4.4400000000000002E-2</v>
      </c>
      <c r="E53" s="109">
        <v>9.4000000000000004E-3</v>
      </c>
      <c r="F53" s="109">
        <v>3.5099999999999999E-2</v>
      </c>
      <c r="G53" s="109">
        <v>0.17799999999999999</v>
      </c>
      <c r="H53" s="109">
        <v>0.22070000000000001</v>
      </c>
      <c r="I53" s="109">
        <v>0.25290000000000001</v>
      </c>
      <c r="J53" s="109">
        <v>8.6800000000000002E-2</v>
      </c>
      <c r="K53" s="109">
        <v>5.4199999999999998E-2</v>
      </c>
      <c r="L53" s="253">
        <v>45271</v>
      </c>
      <c r="M53" s="90" t="s">
        <v>523</v>
      </c>
      <c r="P53" s="165" t="s">
        <v>577</v>
      </c>
      <c r="Q53" s="111" t="s">
        <v>578</v>
      </c>
    </row>
    <row r="54" spans="1:18">
      <c r="B54" s="47" t="s">
        <v>367</v>
      </c>
      <c r="C54" s="47" t="s">
        <v>443</v>
      </c>
      <c r="D54" s="109">
        <v>-3.5799999999999998E-2</v>
      </c>
      <c r="E54" s="109">
        <v>8.0000000000000002E-3</v>
      </c>
      <c r="F54" s="109">
        <v>5.6099999999999997E-2</v>
      </c>
      <c r="G54" s="109">
        <v>0.183</v>
      </c>
      <c r="H54" s="109">
        <v>0.21510000000000001</v>
      </c>
      <c r="I54" s="109">
        <v>0.25929999999999997</v>
      </c>
      <c r="J54" s="109">
        <v>0.12709999999999999</v>
      </c>
      <c r="K54" s="109">
        <v>7.0900000000000005E-2</v>
      </c>
      <c r="L54" s="253">
        <v>45271</v>
      </c>
      <c r="M54" s="90" t="s">
        <v>523</v>
      </c>
      <c r="P54" s="165" t="s">
        <v>579</v>
      </c>
      <c r="Q54" s="111" t="s">
        <v>580</v>
      </c>
    </row>
    <row r="55" spans="1:18">
      <c r="B55" s="47" t="s">
        <v>350</v>
      </c>
      <c r="C55" s="47" t="s">
        <v>201</v>
      </c>
      <c r="D55" s="109">
        <v>4.4000000000000003E-3</v>
      </c>
      <c r="E55" s="109">
        <v>8.5699999999999998E-2</v>
      </c>
      <c r="F55" s="109">
        <v>2.1700000000000001E-2</v>
      </c>
      <c r="G55" s="109">
        <v>1.9599999999999999E-2</v>
      </c>
      <c r="H55" s="109">
        <v>1E-4</v>
      </c>
      <c r="I55" s="109">
        <v>-1.32E-2</v>
      </c>
      <c r="J55" s="109">
        <v>3.44E-2</v>
      </c>
      <c r="K55" s="109">
        <v>1.6799999999999999E-2</v>
      </c>
      <c r="L55" s="253">
        <v>45271</v>
      </c>
      <c r="M55" s="90" t="s">
        <v>523</v>
      </c>
      <c r="P55" s="165" t="s">
        <v>581</v>
      </c>
      <c r="Q55" s="111" t="s">
        <v>582</v>
      </c>
      <c r="R55" s="111" t="s">
        <v>583</v>
      </c>
    </row>
    <row r="56" spans="1:18">
      <c r="B56" s="47" t="s">
        <v>352</v>
      </c>
      <c r="C56" s="47" t="s">
        <v>228</v>
      </c>
      <c r="D56" s="109">
        <v>2.0999999999999999E-3</v>
      </c>
      <c r="E56" s="109">
        <v>1.3100000000000001E-2</v>
      </c>
      <c r="F56" s="109">
        <v>1.2E-2</v>
      </c>
      <c r="G56" s="109">
        <v>4.6199999999999998E-2</v>
      </c>
      <c r="H56" s="112">
        <v>4.6399999999999997E-2</v>
      </c>
      <c r="I56" s="112">
        <v>0.01</v>
      </c>
      <c r="J56" s="112">
        <v>4.6800000000000001E-2</v>
      </c>
      <c r="K56" s="109">
        <v>7.0099999999999996E-2</v>
      </c>
      <c r="L56" s="253">
        <v>45271</v>
      </c>
      <c r="M56" s="90" t="s">
        <v>523</v>
      </c>
      <c r="P56" s="165" t="s">
        <v>584</v>
      </c>
      <c r="Q56" s="165" t="s">
        <v>585</v>
      </c>
      <c r="R56" s="165" t="s">
        <v>586</v>
      </c>
    </row>
    <row r="57" spans="1:18">
      <c r="B57" s="47" t="s">
        <v>369</v>
      </c>
      <c r="C57" s="47" t="s">
        <v>247</v>
      </c>
      <c r="D57" s="109">
        <v>7.4000000000000003E-3</v>
      </c>
      <c r="E57" s="109">
        <v>7.0699999999999999E-2</v>
      </c>
      <c r="F57" s="109">
        <v>3.8899999999999997E-2</v>
      </c>
      <c r="G57" s="109">
        <v>0.1159</v>
      </c>
      <c r="H57" s="112">
        <v>0.1094</v>
      </c>
      <c r="I57" s="112">
        <v>0.1023</v>
      </c>
      <c r="J57" s="112">
        <v>0.115</v>
      </c>
      <c r="K57" s="109">
        <v>9.1000000000000004E-3</v>
      </c>
      <c r="L57" s="253">
        <v>45271</v>
      </c>
      <c r="M57" s="90" t="s">
        <v>523</v>
      </c>
      <c r="P57" s="165" t="s">
        <v>587</v>
      </c>
      <c r="Q57" s="165"/>
      <c r="R57" s="165"/>
    </row>
    <row r="58" spans="1:18">
      <c r="B58" s="47" t="s">
        <v>371</v>
      </c>
      <c r="C58" s="47" t="s">
        <v>250</v>
      </c>
      <c r="D58" s="109">
        <v>2.3E-3</v>
      </c>
      <c r="E58" s="109">
        <v>2.4E-2</v>
      </c>
      <c r="F58" s="109">
        <v>7.9000000000000008E-3</v>
      </c>
      <c r="G58" s="109">
        <v>8.2699999999999996E-2</v>
      </c>
      <c r="H58" s="109">
        <v>7.2400000000000006E-2</v>
      </c>
      <c r="I58" s="112">
        <v>8.9700000000000002E-2</v>
      </c>
      <c r="J58" s="112">
        <v>9.1899999999999996E-2</v>
      </c>
      <c r="K58" s="112">
        <v>8.9300000000000004E-2</v>
      </c>
      <c r="L58" s="253">
        <v>45271</v>
      </c>
      <c r="M58" s="90" t="s">
        <v>523</v>
      </c>
      <c r="P58" s="167" t="s">
        <v>588</v>
      </c>
      <c r="Q58" s="89"/>
    </row>
    <row r="59" spans="1:18">
      <c r="B59" s="47" t="s">
        <v>126</v>
      </c>
      <c r="C59" s="47" t="s">
        <v>251</v>
      </c>
      <c r="D59" s="109">
        <v>8.9999999999999993E-3</v>
      </c>
      <c r="E59" s="109">
        <v>8.6400000000000005E-2</v>
      </c>
      <c r="F59" s="109">
        <v>3.3799999999999997E-2</v>
      </c>
      <c r="G59" s="109">
        <v>0.17929999999999999</v>
      </c>
      <c r="H59" s="109">
        <v>0.1555</v>
      </c>
      <c r="I59" s="112">
        <v>-5.3E-3</v>
      </c>
      <c r="J59" s="112">
        <v>0.1366</v>
      </c>
      <c r="K59" s="112" t="s">
        <v>522</v>
      </c>
      <c r="L59" s="253">
        <v>45271</v>
      </c>
      <c r="M59" s="90" t="s">
        <v>523</v>
      </c>
      <c r="P59" s="167" t="s">
        <v>589</v>
      </c>
      <c r="Q59" s="89"/>
    </row>
    <row r="60" spans="1:18">
      <c r="B60" s="47" t="s">
        <v>384</v>
      </c>
      <c r="C60" s="47" t="s">
        <v>255</v>
      </c>
      <c r="D60" s="109">
        <v>2.1499999999999998E-2</v>
      </c>
      <c r="E60" s="109">
        <v>0.13220000000000001</v>
      </c>
      <c r="F60" s="109">
        <v>4.4699999999999997E-2</v>
      </c>
      <c r="G60" s="109">
        <v>-4.5100000000000001E-2</v>
      </c>
      <c r="H60" s="109">
        <v>-4.6800000000000001E-2</v>
      </c>
      <c r="I60" s="112">
        <v>-6.7599999999999993E-2</v>
      </c>
      <c r="J60" s="112">
        <v>0.1391</v>
      </c>
      <c r="K60" s="112" t="s">
        <v>522</v>
      </c>
      <c r="L60" s="253">
        <v>45271</v>
      </c>
      <c r="M60" s="90" t="s">
        <v>523</v>
      </c>
      <c r="P60" s="167" t="s">
        <v>590</v>
      </c>
      <c r="Q60" s="89"/>
    </row>
    <row r="61" spans="1:18">
      <c r="B61" s="47" t="s">
        <v>385</v>
      </c>
      <c r="C61" s="47" t="s">
        <v>212</v>
      </c>
      <c r="D61" s="109">
        <v>5.0000000000000001E-4</v>
      </c>
      <c r="E61" s="109">
        <v>5.5999999999999999E-3</v>
      </c>
      <c r="F61" s="109">
        <v>1.5800000000000002E-2</v>
      </c>
      <c r="G61" s="109">
        <v>3.7199999999999997E-2</v>
      </c>
      <c r="H61" s="109">
        <v>3.8899999999999997E-2</v>
      </c>
      <c r="I61" s="112">
        <v>4.1799999999999997E-2</v>
      </c>
      <c r="J61" s="112">
        <v>5.6000000000000001E-2</v>
      </c>
      <c r="K61" s="112">
        <v>5.04E-2</v>
      </c>
      <c r="L61" s="253">
        <v>45271</v>
      </c>
      <c r="M61" s="90" t="s">
        <v>523</v>
      </c>
      <c r="P61" s="167" t="s">
        <v>591</v>
      </c>
      <c r="Q61" s="89"/>
    </row>
    <row r="62" spans="1:18">
      <c r="B62" s="47" t="s">
        <v>391</v>
      </c>
      <c r="C62" s="47" t="s">
        <v>230</v>
      </c>
      <c r="D62" s="109">
        <v>1.2999999999999999E-3</v>
      </c>
      <c r="E62" s="109">
        <v>2.98E-2</v>
      </c>
      <c r="F62" s="109">
        <v>2.0400000000000001E-2</v>
      </c>
      <c r="G62" s="109">
        <v>8.4199999999999997E-2</v>
      </c>
      <c r="H62" s="109">
        <v>6.7799999999999999E-2</v>
      </c>
      <c r="I62" s="109">
        <v>9.4000000000000004E-3</v>
      </c>
      <c r="J62" s="109">
        <v>4.1399999999999999E-2</v>
      </c>
      <c r="K62" s="109">
        <v>6.9800000000000001E-2</v>
      </c>
      <c r="L62" s="253">
        <v>45271</v>
      </c>
      <c r="M62" s="90" t="s">
        <v>523</v>
      </c>
      <c r="P62" s="165" t="s">
        <v>592</v>
      </c>
      <c r="Q62" s="111"/>
    </row>
    <row r="63" spans="1:18">
      <c r="B63" s="47" t="s">
        <v>388</v>
      </c>
      <c r="C63" s="47" t="s">
        <v>259</v>
      </c>
      <c r="D63" s="109">
        <v>1.6400000000000001E-2</v>
      </c>
      <c r="E63" s="109">
        <v>5.0200000000000002E-2</v>
      </c>
      <c r="F63" s="109">
        <v>4.9399999999999999E-2</v>
      </c>
      <c r="G63" s="109">
        <v>0.1187</v>
      </c>
      <c r="H63" s="109">
        <v>7.3999999999999996E-2</v>
      </c>
      <c r="I63" s="109">
        <v>-0.1099</v>
      </c>
      <c r="J63" s="109">
        <v>7.2700000000000001E-2</v>
      </c>
      <c r="K63" s="112" t="s">
        <v>522</v>
      </c>
      <c r="L63" s="253">
        <v>45271</v>
      </c>
      <c r="M63" s="90" t="s">
        <v>523</v>
      </c>
      <c r="P63" s="165" t="s">
        <v>593</v>
      </c>
      <c r="Q63" s="111"/>
    </row>
    <row r="64" spans="1:18">
      <c r="B64" s="47" t="s">
        <v>390</v>
      </c>
      <c r="C64" s="47" t="s">
        <v>258</v>
      </c>
      <c r="D64" s="109">
        <v>2.06E-2</v>
      </c>
      <c r="E64" s="109">
        <v>5.0099999999999999E-2</v>
      </c>
      <c r="F64" s="109">
        <v>5.67E-2</v>
      </c>
      <c r="G64" s="109">
        <v>0.3931</v>
      </c>
      <c r="H64" s="109">
        <v>0.3266</v>
      </c>
      <c r="I64" s="109">
        <v>-1.7500000000000002E-2</v>
      </c>
      <c r="J64" s="109">
        <v>0.14849999999999999</v>
      </c>
      <c r="K64" s="112" t="s">
        <v>522</v>
      </c>
      <c r="L64" s="253">
        <v>45271</v>
      </c>
      <c r="M64" s="90" t="s">
        <v>523</v>
      </c>
      <c r="P64" s="165" t="s">
        <v>594</v>
      </c>
    </row>
    <row r="65" spans="1:17">
      <c r="B65" s="47" t="s">
        <v>393</v>
      </c>
      <c r="C65" s="47" t="s">
        <v>221</v>
      </c>
      <c r="D65" s="109">
        <v>-3.5000000000000003E-2</v>
      </c>
      <c r="E65" s="109">
        <v>1.1900000000000001E-2</v>
      </c>
      <c r="F65" s="109">
        <v>2.6200000000000001E-2</v>
      </c>
      <c r="G65" s="109">
        <v>0.1135</v>
      </c>
      <c r="H65" s="109">
        <v>0.1333</v>
      </c>
      <c r="I65" s="109">
        <v>0.20569999999999999</v>
      </c>
      <c r="J65" s="109">
        <v>9.0200000000000002E-2</v>
      </c>
      <c r="K65" s="112">
        <v>6.9800000000000001E-2</v>
      </c>
      <c r="L65" s="253">
        <v>45271</v>
      </c>
      <c r="M65" s="90" t="s">
        <v>523</v>
      </c>
      <c r="P65" s="167" t="s">
        <v>595</v>
      </c>
      <c r="Q65" s="89"/>
    </row>
    <row r="66" spans="1:17">
      <c r="B66" s="47" t="s">
        <v>395</v>
      </c>
      <c r="C66" s="47" t="s">
        <v>231</v>
      </c>
      <c r="D66" s="109">
        <v>2.5000000000000001E-3</v>
      </c>
      <c r="E66" s="109">
        <v>2.64E-2</v>
      </c>
      <c r="F66" s="109">
        <v>2.24E-2</v>
      </c>
      <c r="G66" s="109">
        <v>8.5300000000000001E-2</v>
      </c>
      <c r="H66" s="109">
        <v>7.5499999999999998E-2</v>
      </c>
      <c r="I66" s="109">
        <v>2.9499999999999998E-2</v>
      </c>
      <c r="J66" s="109">
        <v>4.4900000000000002E-2</v>
      </c>
      <c r="K66" s="109">
        <v>6.5199999999999994E-2</v>
      </c>
      <c r="L66" s="253">
        <v>45271</v>
      </c>
      <c r="M66" s="90" t="s">
        <v>523</v>
      </c>
      <c r="P66" s="167" t="s">
        <v>596</v>
      </c>
      <c r="Q66" s="89"/>
    </row>
    <row r="67" spans="1:17">
      <c r="B67" s="47" t="s">
        <v>397</v>
      </c>
      <c r="C67" s="47" t="s">
        <v>232</v>
      </c>
      <c r="D67" s="109">
        <v>1.0699999999999999E-2</v>
      </c>
      <c r="E67" s="109">
        <v>4.1599999999999998E-2</v>
      </c>
      <c r="F67" s="109">
        <v>3.2599999999999997E-2</v>
      </c>
      <c r="G67" s="109">
        <v>7.9600000000000004E-2</v>
      </c>
      <c r="H67" s="109">
        <v>6.7100000000000007E-2</v>
      </c>
      <c r="I67" s="109">
        <v>8.9999999999999993E-3</v>
      </c>
      <c r="J67" s="109">
        <v>3.1699999999999999E-2</v>
      </c>
      <c r="K67" s="109">
        <v>7.2800000000000004E-2</v>
      </c>
      <c r="L67" s="253">
        <v>45271</v>
      </c>
      <c r="M67" s="90" t="s">
        <v>523</v>
      </c>
      <c r="P67" s="167" t="s">
        <v>597</v>
      </c>
      <c r="Q67" s="89"/>
    </row>
    <row r="68" spans="1:17">
      <c r="A68" s="97"/>
      <c r="B68" s="93" t="s">
        <v>413</v>
      </c>
      <c r="C68" s="93" t="s">
        <v>265</v>
      </c>
      <c r="D68" s="120">
        <v>4.0000000000000002E-4</v>
      </c>
      <c r="E68" s="120">
        <v>0.1004</v>
      </c>
      <c r="F68" s="120">
        <v>6.4600000000000005E-2</v>
      </c>
      <c r="G68" s="120">
        <v>8.0600000000000005E-2</v>
      </c>
      <c r="H68" s="120">
        <v>7.3599999999999999E-2</v>
      </c>
      <c r="I68" s="120">
        <v>0.1351</v>
      </c>
      <c r="J68" s="120">
        <v>0.1106</v>
      </c>
      <c r="K68" s="120">
        <v>9.1999999999999998E-3</v>
      </c>
      <c r="L68" s="253">
        <v>45271</v>
      </c>
      <c r="M68" s="95" t="s">
        <v>523</v>
      </c>
      <c r="N68" s="93"/>
      <c r="O68" s="93"/>
      <c r="P68" s="117" t="s">
        <v>598</v>
      </c>
      <c r="Q68" s="107"/>
    </row>
    <row r="69" spans="1:17">
      <c r="B69" s="48" t="s">
        <v>537</v>
      </c>
      <c r="D69" s="92">
        <v>1.0777777777777778E-3</v>
      </c>
      <c r="E69" s="92">
        <v>4.7838888888888903E-2</v>
      </c>
      <c r="F69" s="92">
        <v>3.2449999999999993E-2</v>
      </c>
      <c r="G69" s="92">
        <v>0.10693888888888889</v>
      </c>
      <c r="H69" s="92">
        <v>9.7099999999999992E-2</v>
      </c>
      <c r="I69" s="92">
        <v>4.6827777777777774E-2</v>
      </c>
      <c r="J69" s="92">
        <v>8.0238888888888915E-2</v>
      </c>
      <c r="K69" s="92">
        <v>5.0499999999999996E-2</v>
      </c>
      <c r="L69" s="103"/>
      <c r="P69" s="132"/>
    </row>
    <row r="71" spans="1:17">
      <c r="A71" s="47"/>
    </row>
    <row r="72" spans="1:17">
      <c r="A72" s="131"/>
    </row>
    <row r="73" spans="1:17">
      <c r="B73" s="48" t="s">
        <v>132</v>
      </c>
      <c r="C73" s="130" t="s">
        <v>508</v>
      </c>
      <c r="D73" s="129" t="s">
        <v>509</v>
      </c>
      <c r="E73" s="129" t="s">
        <v>510</v>
      </c>
      <c r="F73" s="129" t="s">
        <v>511</v>
      </c>
      <c r="G73" s="129" t="s">
        <v>512</v>
      </c>
      <c r="H73" s="129" t="s">
        <v>513</v>
      </c>
      <c r="I73" s="129" t="s">
        <v>514</v>
      </c>
      <c r="J73" s="129" t="s">
        <v>515</v>
      </c>
      <c r="K73" s="129" t="s">
        <v>416</v>
      </c>
      <c r="L73" s="129" t="s">
        <v>516</v>
      </c>
      <c r="M73" s="48" t="s">
        <v>517</v>
      </c>
      <c r="N73" s="102"/>
      <c r="O73" s="97" t="s">
        <v>518</v>
      </c>
      <c r="P73" s="118"/>
      <c r="Q73" s="93"/>
    </row>
    <row r="74" spans="1:17">
      <c r="A74" s="105" t="s">
        <v>599</v>
      </c>
      <c r="B74" s="103" t="s">
        <v>337</v>
      </c>
      <c r="C74" s="128" t="s">
        <v>223</v>
      </c>
      <c r="D74" s="126">
        <v>6.1000000000000004E-3</v>
      </c>
      <c r="E74" s="127">
        <v>2.98E-2</v>
      </c>
      <c r="F74" s="127">
        <v>2.5999999999999999E-2</v>
      </c>
      <c r="G74" s="127">
        <v>0.1343</v>
      </c>
      <c r="H74" s="127">
        <v>0.12520000000000001</v>
      </c>
      <c r="I74" s="127">
        <v>4.9700000000000001E-2</v>
      </c>
      <c r="J74" s="127">
        <v>6.9900000000000004E-2</v>
      </c>
      <c r="K74" s="126">
        <v>7.9000000000000008E-3</v>
      </c>
      <c r="L74" s="255">
        <v>45271</v>
      </c>
      <c r="M74" s="124" t="s">
        <v>523</v>
      </c>
      <c r="N74" s="90"/>
      <c r="O74" s="48"/>
      <c r="P74" s="167" t="s">
        <v>600</v>
      </c>
    </row>
    <row r="75" spans="1:17">
      <c r="B75" s="47" t="s">
        <v>373</v>
      </c>
      <c r="C75" s="89" t="s">
        <v>451</v>
      </c>
      <c r="D75" s="112">
        <v>4.3E-3</v>
      </c>
      <c r="E75" s="109">
        <v>2.3599999999999999E-2</v>
      </c>
      <c r="F75" s="109">
        <v>3.8999999999999998E-3</v>
      </c>
      <c r="G75" s="109">
        <v>0.1545</v>
      </c>
      <c r="H75" s="109">
        <v>0.16669999999999999</v>
      </c>
      <c r="I75" s="109">
        <v>6.6600000000000006E-2</v>
      </c>
      <c r="J75" s="109">
        <v>9.2700000000000005E-2</v>
      </c>
      <c r="K75" s="112">
        <v>9.5999999999999992E-3</v>
      </c>
      <c r="L75" s="253">
        <v>45271</v>
      </c>
      <c r="M75" s="90" t="s">
        <v>523</v>
      </c>
      <c r="N75" s="90"/>
      <c r="O75" s="48"/>
      <c r="P75" s="167" t="s">
        <v>601</v>
      </c>
    </row>
    <row r="76" spans="1:17">
      <c r="B76" s="47" t="s">
        <v>374</v>
      </c>
      <c r="C76" s="89" t="s">
        <v>224</v>
      </c>
      <c r="D76" s="112">
        <v>3.2000000000000002E-3</v>
      </c>
      <c r="E76" s="109">
        <v>1.54E-2</v>
      </c>
      <c r="F76" s="109">
        <v>6.7999999999999996E-3</v>
      </c>
      <c r="G76" s="109">
        <v>0.14580000000000001</v>
      </c>
      <c r="H76" s="109">
        <v>0.1265</v>
      </c>
      <c r="I76" s="112" t="s">
        <v>557</v>
      </c>
      <c r="J76" s="112" t="s">
        <v>557</v>
      </c>
      <c r="K76" s="112">
        <v>9.4000000000000004E-3</v>
      </c>
      <c r="L76" s="253">
        <v>45271</v>
      </c>
      <c r="M76" s="90" t="s">
        <v>523</v>
      </c>
      <c r="N76" s="90"/>
      <c r="O76" s="48"/>
      <c r="P76" s="167" t="s">
        <v>602</v>
      </c>
    </row>
    <row r="77" spans="1:17">
      <c r="A77" s="47"/>
      <c r="B77" s="47" t="s">
        <v>409</v>
      </c>
      <c r="C77" s="47" t="s">
        <v>603</v>
      </c>
      <c r="D77" s="109">
        <v>0</v>
      </c>
      <c r="E77" s="109">
        <v>1.15E-2</v>
      </c>
      <c r="F77" s="109">
        <v>-3.3999999999999998E-3</v>
      </c>
      <c r="G77" s="109">
        <v>2.3300000000000001E-2</v>
      </c>
      <c r="H77" s="109">
        <v>1.4E-2</v>
      </c>
      <c r="I77" s="109">
        <v>-2.3300000000000001E-2</v>
      </c>
      <c r="J77" s="112">
        <v>-4.0000000000000002E-4</v>
      </c>
      <c r="K77" s="112">
        <v>1.4800000000000001E-2</v>
      </c>
      <c r="L77" s="253">
        <v>45271</v>
      </c>
      <c r="M77" s="90" t="s">
        <v>523</v>
      </c>
      <c r="P77" s="165" t="s">
        <v>604</v>
      </c>
      <c r="Q77" s="165" t="s">
        <v>605</v>
      </c>
    </row>
    <row r="78" spans="1:17">
      <c r="B78" s="47" t="s">
        <v>410</v>
      </c>
      <c r="C78" s="47" t="s">
        <v>606</v>
      </c>
      <c r="D78" s="109">
        <v>7.7999999999999996E-3</v>
      </c>
      <c r="E78" s="109">
        <v>2.6599999999999999E-2</v>
      </c>
      <c r="F78" s="109">
        <v>4.4999999999999997E-3</v>
      </c>
      <c r="G78" s="109">
        <v>0.1004</v>
      </c>
      <c r="H78" s="109">
        <v>8.6400000000000005E-2</v>
      </c>
      <c r="I78" s="109">
        <v>4.48E-2</v>
      </c>
      <c r="J78" s="109">
        <v>5.0900000000000001E-2</v>
      </c>
      <c r="K78" s="112" t="s">
        <v>522</v>
      </c>
      <c r="L78" s="253">
        <v>45271</v>
      </c>
      <c r="M78" s="90" t="s">
        <v>523</v>
      </c>
      <c r="P78" s="165" t="s">
        <v>607</v>
      </c>
      <c r="Q78" s="165" t="s">
        <v>608</v>
      </c>
    </row>
    <row r="79" spans="1:17">
      <c r="B79" s="47" t="s">
        <v>411</v>
      </c>
      <c r="C79" s="47" t="s">
        <v>225</v>
      </c>
      <c r="D79" s="109">
        <v>8.5000000000000006E-3</v>
      </c>
      <c r="E79" s="109">
        <v>2.9499999999999998E-2</v>
      </c>
      <c r="F79" s="109">
        <v>7.1999999999999998E-3</v>
      </c>
      <c r="G79" s="109">
        <v>0.13200000000000001</v>
      </c>
      <c r="H79" s="109">
        <v>0.1075</v>
      </c>
      <c r="I79" s="112">
        <v>5.2699999999999997E-2</v>
      </c>
      <c r="J79" s="112" t="s">
        <v>557</v>
      </c>
      <c r="K79" s="112" t="s">
        <v>522</v>
      </c>
      <c r="L79" s="254">
        <v>45271</v>
      </c>
      <c r="M79" s="90" t="s">
        <v>523</v>
      </c>
      <c r="P79" s="165" t="s">
        <v>609</v>
      </c>
      <c r="Q79" s="165"/>
    </row>
    <row r="80" spans="1:17">
      <c r="A80" s="105"/>
      <c r="B80" s="105" t="s">
        <v>537</v>
      </c>
      <c r="C80" s="105"/>
      <c r="D80" s="139">
        <v>4.9833333333333335E-3</v>
      </c>
      <c r="E80" s="139">
        <v>2.2733333333333331E-2</v>
      </c>
      <c r="F80" s="139">
        <v>7.4999999999999989E-3</v>
      </c>
      <c r="G80" s="139">
        <v>0.11505</v>
      </c>
      <c r="H80" s="139">
        <v>0.10438333333333334</v>
      </c>
      <c r="I80" s="139">
        <v>3.8100000000000002E-2</v>
      </c>
      <c r="J80" s="139">
        <v>5.3275000000000003E-2</v>
      </c>
      <c r="K80" s="139"/>
      <c r="L80" s="91"/>
      <c r="M80" s="124"/>
      <c r="N80" s="103"/>
      <c r="O80" s="103"/>
      <c r="P80" s="141"/>
      <c r="Q80" s="128"/>
    </row>
    <row r="81" spans="1:18">
      <c r="B81" s="48"/>
      <c r="C81" s="48"/>
      <c r="D81" s="122"/>
      <c r="E81" s="122"/>
      <c r="F81" s="122"/>
      <c r="G81" s="122"/>
      <c r="H81" s="122"/>
      <c r="I81" s="122"/>
      <c r="J81" s="122"/>
      <c r="K81" s="112"/>
      <c r="M81" s="90"/>
      <c r="P81" s="121"/>
      <c r="Q81" s="89"/>
    </row>
    <row r="82" spans="1:18" ht="26">
      <c r="A82" s="93"/>
      <c r="B82" s="97" t="s">
        <v>132</v>
      </c>
      <c r="C82" s="116" t="s">
        <v>610</v>
      </c>
      <c r="D82" s="118"/>
      <c r="E82" s="102" t="s">
        <v>611</v>
      </c>
      <c r="F82" s="102" t="s">
        <v>510</v>
      </c>
      <c r="G82" s="102" t="s">
        <v>512</v>
      </c>
      <c r="H82" s="102" t="s">
        <v>513</v>
      </c>
      <c r="I82" s="102" t="s">
        <v>514</v>
      </c>
      <c r="J82" s="115" t="s">
        <v>612</v>
      </c>
      <c r="K82" s="115" t="s">
        <v>416</v>
      </c>
      <c r="L82" s="102" t="s">
        <v>613</v>
      </c>
      <c r="M82" s="102" t="s">
        <v>517</v>
      </c>
      <c r="N82" s="170" t="s">
        <v>614</v>
      </c>
      <c r="O82" s="97" t="s">
        <v>518</v>
      </c>
      <c r="P82" s="107"/>
      <c r="Q82" s="93"/>
    </row>
    <row r="83" spans="1:18">
      <c r="A83" s="48" t="s">
        <v>283</v>
      </c>
      <c r="B83" s="47" t="s">
        <v>319</v>
      </c>
      <c r="C83" s="47" t="s">
        <v>615</v>
      </c>
      <c r="E83" s="110">
        <v>26.33</v>
      </c>
      <c r="F83" s="109">
        <v>2.01E-2</v>
      </c>
      <c r="G83" s="109">
        <v>-3.7199999999999997E-2</v>
      </c>
      <c r="H83" s="109">
        <v>-7.1099999999999997E-2</v>
      </c>
      <c r="I83" s="109">
        <v>6.2E-2</v>
      </c>
      <c r="J83" s="109">
        <v>4.3799999999999999E-2</v>
      </c>
      <c r="K83" s="112">
        <v>5.5800000000000002E-2</v>
      </c>
      <c r="L83" s="91">
        <v>45271</v>
      </c>
      <c r="M83" s="91" t="s">
        <v>523</v>
      </c>
      <c r="N83" s="253">
        <v>45246</v>
      </c>
      <c r="O83" s="89"/>
      <c r="P83" s="111" t="s">
        <v>616</v>
      </c>
      <c r="Q83" s="165" t="s">
        <v>617</v>
      </c>
    </row>
    <row r="84" spans="1:18">
      <c r="B84" s="47" t="s">
        <v>332</v>
      </c>
      <c r="C84" s="47" t="s">
        <v>615</v>
      </c>
      <c r="E84" s="110">
        <v>22.87</v>
      </c>
      <c r="F84" s="109">
        <v>4.2799999999999998E-2</v>
      </c>
      <c r="G84" s="109">
        <v>0.1069</v>
      </c>
      <c r="H84" s="109">
        <v>0.15820000000000001</v>
      </c>
      <c r="I84" s="109">
        <v>0.19919999999999999</v>
      </c>
      <c r="J84" s="109">
        <v>0.121</v>
      </c>
      <c r="K84" s="112">
        <v>0.1216</v>
      </c>
      <c r="L84" s="91">
        <v>45271</v>
      </c>
      <c r="M84" s="91" t="s">
        <v>523</v>
      </c>
      <c r="N84" s="253">
        <v>45246</v>
      </c>
      <c r="O84" s="89"/>
      <c r="P84" s="111" t="s">
        <v>618</v>
      </c>
      <c r="Q84" s="165" t="s">
        <v>619</v>
      </c>
    </row>
    <row r="85" spans="1:18">
      <c r="B85" s="47" t="s">
        <v>334</v>
      </c>
      <c r="C85" s="47" t="s">
        <v>615</v>
      </c>
      <c r="E85" s="110">
        <v>31.29</v>
      </c>
      <c r="F85" s="109">
        <v>-4.7999999999999996E-3</v>
      </c>
      <c r="G85" s="109">
        <v>-9.5699999999999993E-2</v>
      </c>
      <c r="H85" s="109">
        <v>-0.1245</v>
      </c>
      <c r="I85" s="109">
        <v>6.8000000000000005E-2</v>
      </c>
      <c r="J85" s="109">
        <v>7.1599999999999997E-2</v>
      </c>
      <c r="K85" s="112">
        <v>5.79E-2</v>
      </c>
      <c r="L85" s="91">
        <v>45271</v>
      </c>
      <c r="M85" s="91" t="s">
        <v>523</v>
      </c>
      <c r="N85" s="253">
        <v>45246</v>
      </c>
      <c r="O85" s="89"/>
      <c r="P85" s="111" t="s">
        <v>620</v>
      </c>
      <c r="Q85" s="165" t="s">
        <v>621</v>
      </c>
    </row>
    <row r="86" spans="1:18">
      <c r="B86" s="47" t="s">
        <v>340</v>
      </c>
      <c r="C86" s="47" t="s">
        <v>615</v>
      </c>
      <c r="E86" s="110">
        <v>24.97</v>
      </c>
      <c r="F86" s="109">
        <v>3.5999999999999999E-3</v>
      </c>
      <c r="G86" s="109">
        <v>0.1206</v>
      </c>
      <c r="H86" s="109">
        <v>0.1145</v>
      </c>
      <c r="I86" s="109">
        <v>7.9500000000000001E-2</v>
      </c>
      <c r="J86" s="109">
        <v>6.0299999999999999E-2</v>
      </c>
      <c r="K86" s="112">
        <v>8.1199999999999994E-2</v>
      </c>
      <c r="L86" s="91">
        <v>45271</v>
      </c>
      <c r="M86" s="91" t="s">
        <v>523</v>
      </c>
      <c r="N86" s="253">
        <v>45246</v>
      </c>
      <c r="O86" s="89"/>
      <c r="P86" s="167" t="s">
        <v>622</v>
      </c>
      <c r="Q86" s="167" t="s">
        <v>623</v>
      </c>
    </row>
    <row r="87" spans="1:18">
      <c r="B87" s="47" t="s">
        <v>342</v>
      </c>
      <c r="C87" s="47" t="s">
        <v>624</v>
      </c>
      <c r="E87" s="110"/>
      <c r="F87" s="109"/>
      <c r="G87" s="109">
        <v>0.1144</v>
      </c>
      <c r="H87" s="109"/>
      <c r="I87" s="109">
        <v>9.7199999999999995E-2</v>
      </c>
      <c r="J87" s="109">
        <v>8.8499999999999995E-2</v>
      </c>
      <c r="K87" s="112">
        <v>0.1024</v>
      </c>
      <c r="L87" s="91">
        <v>45271</v>
      </c>
      <c r="M87" s="91" t="s">
        <v>523</v>
      </c>
      <c r="N87" s="253">
        <v>45246</v>
      </c>
      <c r="O87" s="89"/>
      <c r="P87" s="167" t="s">
        <v>625</v>
      </c>
      <c r="Q87" s="167" t="s">
        <v>626</v>
      </c>
    </row>
    <row r="88" spans="1:18">
      <c r="A88" s="97"/>
      <c r="B88" s="93" t="s">
        <v>375</v>
      </c>
      <c r="C88" s="93" t="s">
        <v>615</v>
      </c>
      <c r="D88" s="93"/>
      <c r="E88" s="168">
        <v>8.76</v>
      </c>
      <c r="F88" s="119" t="s">
        <v>522</v>
      </c>
      <c r="G88" s="120">
        <v>8.4000000000000005E-2</v>
      </c>
      <c r="H88" s="120">
        <v>7.5200000000000003E-2</v>
      </c>
      <c r="I88" s="119">
        <v>5.1299999999999998E-2</v>
      </c>
      <c r="J88" s="120">
        <v>6.4199999999999993E-2</v>
      </c>
      <c r="K88" s="119">
        <v>9.4799999999999995E-2</v>
      </c>
      <c r="L88" s="108">
        <v>45271</v>
      </c>
      <c r="M88" s="108" t="s">
        <v>523</v>
      </c>
      <c r="N88" s="254">
        <v>45246</v>
      </c>
      <c r="O88" s="93"/>
      <c r="P88" s="117" t="s">
        <v>627</v>
      </c>
      <c r="Q88" s="93"/>
    </row>
    <row r="89" spans="1:18">
      <c r="B89" s="48" t="s">
        <v>537</v>
      </c>
      <c r="C89" s="48"/>
      <c r="D89" s="48"/>
      <c r="E89" s="48"/>
      <c r="F89" s="92">
        <v>1.5424999999999999E-2</v>
      </c>
      <c r="G89" s="92">
        <v>4.883333333333334E-2</v>
      </c>
      <c r="H89" s="92">
        <v>3.0460000000000004E-2</v>
      </c>
      <c r="I89" s="92">
        <v>9.2866666666666667E-2</v>
      </c>
      <c r="J89" s="92">
        <v>7.4899999999999994E-2</v>
      </c>
      <c r="N89" s="172"/>
      <c r="O89" s="89"/>
      <c r="P89" s="123"/>
    </row>
    <row r="90" spans="1:18">
      <c r="A90" s="131" t="s">
        <v>284</v>
      </c>
      <c r="E90" s="110"/>
      <c r="F90" s="109"/>
      <c r="G90" s="109"/>
      <c r="H90" s="169"/>
      <c r="I90" s="109"/>
      <c r="J90" s="109"/>
      <c r="K90" s="109"/>
      <c r="L90" s="91"/>
      <c r="M90" s="91"/>
      <c r="N90" s="172"/>
      <c r="O90" s="89"/>
      <c r="P90" s="106"/>
    </row>
    <row r="91" spans="1:18" ht="26">
      <c r="A91" s="97"/>
      <c r="B91" s="97" t="s">
        <v>132</v>
      </c>
      <c r="C91" s="116" t="s">
        <v>610</v>
      </c>
      <c r="D91" s="93"/>
      <c r="E91" s="102" t="s">
        <v>611</v>
      </c>
      <c r="F91" s="102" t="s">
        <v>510</v>
      </c>
      <c r="G91" s="102" t="s">
        <v>512</v>
      </c>
      <c r="H91" s="102" t="s">
        <v>513</v>
      </c>
      <c r="I91" s="102" t="s">
        <v>514</v>
      </c>
      <c r="J91" s="115" t="s">
        <v>612</v>
      </c>
      <c r="K91" s="115" t="s">
        <v>416</v>
      </c>
      <c r="L91" s="102" t="s">
        <v>613</v>
      </c>
      <c r="M91" s="102" t="s">
        <v>517</v>
      </c>
      <c r="N91" s="170" t="s">
        <v>614</v>
      </c>
      <c r="O91" s="97" t="s">
        <v>518</v>
      </c>
      <c r="P91" s="114" t="s">
        <v>519</v>
      </c>
      <c r="Q91" s="93"/>
    </row>
    <row r="92" spans="1:18">
      <c r="A92" s="48" t="s">
        <v>628</v>
      </c>
      <c r="B92" s="47" t="s">
        <v>325</v>
      </c>
      <c r="C92" s="47" t="s">
        <v>629</v>
      </c>
      <c r="E92" s="110">
        <v>14.56</v>
      </c>
      <c r="F92" s="109">
        <v>-0.01</v>
      </c>
      <c r="G92" s="109">
        <v>2.3E-2</v>
      </c>
      <c r="H92" s="112">
        <v>1.4999999999999999E-2</v>
      </c>
      <c r="I92" s="112">
        <v>0.14199999999999999</v>
      </c>
      <c r="J92" s="109">
        <v>0.113</v>
      </c>
      <c r="K92" s="109">
        <v>4.4999999999999998E-2</v>
      </c>
      <c r="L92" s="91">
        <v>45230</v>
      </c>
      <c r="M92" s="91" t="s">
        <v>630</v>
      </c>
      <c r="N92" s="253">
        <v>45272</v>
      </c>
      <c r="O92" s="89"/>
      <c r="P92" s="111" t="s">
        <v>631</v>
      </c>
    </row>
    <row r="93" spans="1:18">
      <c r="B93" s="47" t="s">
        <v>323</v>
      </c>
      <c r="C93" s="47" t="s">
        <v>615</v>
      </c>
      <c r="E93" s="110">
        <v>13.6</v>
      </c>
      <c r="F93" s="112" t="s">
        <v>522</v>
      </c>
      <c r="G93" s="112" t="s">
        <v>522</v>
      </c>
      <c r="H93" s="109">
        <v>-8.77E-2</v>
      </c>
      <c r="I93" s="112">
        <v>0.1439</v>
      </c>
      <c r="J93" s="109">
        <v>9.5200000000000007E-2</v>
      </c>
      <c r="K93" s="109">
        <v>4.41E-2</v>
      </c>
      <c r="L93" s="91">
        <v>45260</v>
      </c>
      <c r="M93" s="91" t="s">
        <v>630</v>
      </c>
      <c r="N93" s="253">
        <v>45272</v>
      </c>
      <c r="O93" s="89"/>
      <c r="P93" s="111" t="s">
        <v>632</v>
      </c>
      <c r="Q93" s="165" t="s">
        <v>633</v>
      </c>
      <c r="R93" s="106" t="s">
        <v>634</v>
      </c>
    </row>
    <row r="94" spans="1:18">
      <c r="B94" s="47" t="s">
        <v>405</v>
      </c>
      <c r="C94" s="47" t="s">
        <v>624</v>
      </c>
      <c r="E94" s="110">
        <v>8.2200000000000006</v>
      </c>
      <c r="F94" s="112" t="s">
        <v>522</v>
      </c>
      <c r="G94" s="112" t="s">
        <v>522</v>
      </c>
      <c r="H94" s="112" t="s">
        <v>522</v>
      </c>
      <c r="I94" s="112" t="s">
        <v>522</v>
      </c>
      <c r="J94" s="112" t="s">
        <v>522</v>
      </c>
      <c r="K94" s="109">
        <v>4.8599999999999997E-2</v>
      </c>
      <c r="L94" s="91">
        <v>44798</v>
      </c>
      <c r="M94" s="91" t="s">
        <v>635</v>
      </c>
      <c r="N94" s="253">
        <v>45272</v>
      </c>
      <c r="O94" s="89" t="s">
        <v>636</v>
      </c>
      <c r="P94" s="111" t="s">
        <v>637</v>
      </c>
    </row>
    <row r="95" spans="1:18">
      <c r="B95" s="47" t="s">
        <v>344</v>
      </c>
      <c r="C95" s="47" t="s">
        <v>615</v>
      </c>
      <c r="E95" s="110">
        <v>7.38</v>
      </c>
      <c r="F95" s="112" t="s">
        <v>522</v>
      </c>
      <c r="G95" s="112" t="s">
        <v>522</v>
      </c>
      <c r="H95" s="112" t="s">
        <v>522</v>
      </c>
      <c r="I95" s="112" t="s">
        <v>522</v>
      </c>
      <c r="J95" s="112" t="s">
        <v>522</v>
      </c>
      <c r="K95" s="112" t="s">
        <v>522</v>
      </c>
      <c r="L95" s="91">
        <v>44286</v>
      </c>
      <c r="M95" s="91" t="s">
        <v>635</v>
      </c>
      <c r="N95" s="253">
        <v>45272</v>
      </c>
      <c r="O95" s="89" t="s">
        <v>638</v>
      </c>
      <c r="P95" s="111" t="s">
        <v>639</v>
      </c>
    </row>
    <row r="96" spans="1:18">
      <c r="B96" s="47" t="s">
        <v>356</v>
      </c>
      <c r="C96" s="47" t="s">
        <v>615</v>
      </c>
      <c r="E96" s="110">
        <v>3.7</v>
      </c>
      <c r="F96" s="112" t="s">
        <v>522</v>
      </c>
      <c r="G96" s="109">
        <v>-3.56E-2</v>
      </c>
      <c r="H96" s="109">
        <v>-3.3000000000000002E-2</v>
      </c>
      <c r="I96" s="109">
        <v>7.2599999999999998E-2</v>
      </c>
      <c r="J96" s="109">
        <v>-5.1000000000000004E-3</v>
      </c>
      <c r="K96" s="109">
        <v>8.0000000000000002E-3</v>
      </c>
      <c r="L96" s="91">
        <v>45169</v>
      </c>
      <c r="M96" s="91" t="s">
        <v>630</v>
      </c>
      <c r="N96" s="253">
        <v>45272</v>
      </c>
      <c r="O96" s="89" t="s">
        <v>640</v>
      </c>
      <c r="P96" s="111" t="s">
        <v>641</v>
      </c>
    </row>
    <row r="97" spans="1:17">
      <c r="B97" s="47" t="s">
        <v>362</v>
      </c>
      <c r="C97" s="47" t="s">
        <v>629</v>
      </c>
      <c r="E97" s="110">
        <v>10.14</v>
      </c>
      <c r="F97" s="112" t="s">
        <v>278</v>
      </c>
      <c r="G97" s="112">
        <v>-2.1600000000000001E-2</v>
      </c>
      <c r="H97" s="109">
        <v>-3.2800000000000003E-2</v>
      </c>
      <c r="I97" s="112">
        <v>7.5399999999999995E-2</v>
      </c>
      <c r="J97" s="109">
        <v>6.3600000000000004E-2</v>
      </c>
      <c r="K97" s="112">
        <v>5.7700000000000001E-2</v>
      </c>
      <c r="L97" s="91">
        <v>45169</v>
      </c>
      <c r="M97" s="91" t="s">
        <v>551</v>
      </c>
      <c r="N97" s="253">
        <v>45272</v>
      </c>
      <c r="O97" s="89" t="s">
        <v>642</v>
      </c>
      <c r="P97" s="111" t="s">
        <v>643</v>
      </c>
    </row>
    <row r="98" spans="1:17">
      <c r="B98" s="47" t="s">
        <v>379</v>
      </c>
      <c r="C98" s="113" t="s">
        <v>522</v>
      </c>
      <c r="E98" s="110">
        <v>7.67</v>
      </c>
      <c r="F98" s="112" t="s">
        <v>522</v>
      </c>
      <c r="G98" s="112" t="s">
        <v>522</v>
      </c>
      <c r="H98" s="112" t="s">
        <v>522</v>
      </c>
      <c r="I98" s="112" t="s">
        <v>522</v>
      </c>
      <c r="J98" s="112" t="s">
        <v>522</v>
      </c>
      <c r="K98" s="112">
        <v>0.128</v>
      </c>
      <c r="L98" s="91">
        <v>45107</v>
      </c>
      <c r="M98" s="91" t="s">
        <v>551</v>
      </c>
      <c r="N98" s="253">
        <v>45272</v>
      </c>
      <c r="O98" s="89" t="s">
        <v>644</v>
      </c>
      <c r="P98" s="165" t="s">
        <v>645</v>
      </c>
    </row>
    <row r="99" spans="1:17">
      <c r="B99" s="47" t="s">
        <v>387</v>
      </c>
      <c r="C99" s="113" t="s">
        <v>629</v>
      </c>
      <c r="E99" s="110">
        <v>12.11</v>
      </c>
      <c r="F99" s="112">
        <v>5.9999999999999995E-4</v>
      </c>
      <c r="G99" s="112">
        <v>-1.3599999999999999E-2</v>
      </c>
      <c r="H99" s="112">
        <v>-2.29E-2</v>
      </c>
      <c r="I99" s="112">
        <v>0.1144</v>
      </c>
      <c r="J99" s="112">
        <v>8.8499999999999995E-2</v>
      </c>
      <c r="K99" s="112">
        <v>5.2299999999999999E-2</v>
      </c>
      <c r="L99" s="91">
        <v>45230</v>
      </c>
      <c r="M99" s="91" t="s">
        <v>630</v>
      </c>
      <c r="N99" s="253">
        <v>45274</v>
      </c>
      <c r="O99" s="89"/>
      <c r="P99" s="165" t="s">
        <v>646</v>
      </c>
    </row>
    <row r="100" spans="1:17">
      <c r="B100" s="47" t="s">
        <v>386</v>
      </c>
      <c r="C100" s="113" t="s">
        <v>615</v>
      </c>
      <c r="E100" s="110">
        <v>24.6</v>
      </c>
      <c r="F100" s="112">
        <v>9.7999999999999997E-3</v>
      </c>
      <c r="G100" s="112">
        <v>9.6699999999999994E-2</v>
      </c>
      <c r="H100" s="112">
        <v>0.1099</v>
      </c>
      <c r="I100" s="112" t="s">
        <v>522</v>
      </c>
      <c r="J100" s="112">
        <v>9.4899999999999998E-2</v>
      </c>
      <c r="K100" s="112">
        <v>0.122</v>
      </c>
      <c r="L100" s="91">
        <v>45230</v>
      </c>
      <c r="M100" s="91" t="s">
        <v>630</v>
      </c>
      <c r="N100" s="253">
        <v>45274</v>
      </c>
      <c r="O100" s="89"/>
      <c r="P100" s="165" t="s">
        <v>647</v>
      </c>
    </row>
    <row r="101" spans="1:17">
      <c r="B101" s="47" t="s">
        <v>328</v>
      </c>
      <c r="C101" s="47" t="s">
        <v>615</v>
      </c>
      <c r="E101" s="110">
        <v>8.89</v>
      </c>
      <c r="F101" s="112" t="s">
        <v>522</v>
      </c>
      <c r="G101" s="112">
        <v>2.1999999999999999E-2</v>
      </c>
      <c r="H101" s="112">
        <v>7.5999999999999998E-2</v>
      </c>
      <c r="I101" s="112">
        <v>0.109</v>
      </c>
      <c r="J101" s="112">
        <v>8.6999999999999994E-2</v>
      </c>
      <c r="K101" s="109">
        <v>0.107</v>
      </c>
      <c r="L101" s="91">
        <v>45016</v>
      </c>
      <c r="M101" s="91" t="s">
        <v>551</v>
      </c>
      <c r="N101" s="171">
        <v>45272</v>
      </c>
      <c r="P101" s="111" t="s">
        <v>648</v>
      </c>
      <c r="Q101" s="111" t="s">
        <v>649</v>
      </c>
    </row>
    <row r="102" spans="1:17">
      <c r="B102" s="47" t="s">
        <v>330</v>
      </c>
      <c r="C102" s="47" t="s">
        <v>629</v>
      </c>
      <c r="E102" s="110">
        <v>9.3800000000000008</v>
      </c>
      <c r="F102" s="112">
        <v>6.4999999999999997E-3</v>
      </c>
      <c r="G102" s="112">
        <v>0.12039999999999999</v>
      </c>
      <c r="H102" s="112">
        <v>0.14399999999999999</v>
      </c>
      <c r="I102" s="112" t="s">
        <v>522</v>
      </c>
      <c r="J102" s="112">
        <v>8.7400000000000005E-2</v>
      </c>
      <c r="K102" s="109">
        <v>0.10150000000000001</v>
      </c>
      <c r="L102" s="91">
        <v>45230</v>
      </c>
      <c r="M102" s="91" t="s">
        <v>551</v>
      </c>
      <c r="N102" s="171">
        <v>45274</v>
      </c>
      <c r="P102" s="111" t="s">
        <v>650</v>
      </c>
      <c r="Q102" s="111" t="s">
        <v>651</v>
      </c>
    </row>
    <row r="103" spans="1:17">
      <c r="B103" s="47" t="s">
        <v>399</v>
      </c>
      <c r="C103" s="47" t="s">
        <v>615</v>
      </c>
      <c r="E103" s="110">
        <v>15.58</v>
      </c>
      <c r="F103" s="112" t="s">
        <v>522</v>
      </c>
      <c r="G103" s="112">
        <v>6.9199999999999998E-2</v>
      </c>
      <c r="H103" s="112">
        <v>0.1077</v>
      </c>
      <c r="I103" s="112">
        <v>0.192</v>
      </c>
      <c r="J103" s="112">
        <v>0.1704</v>
      </c>
      <c r="K103" s="112" t="s">
        <v>522</v>
      </c>
      <c r="L103" s="91">
        <v>45199</v>
      </c>
      <c r="M103" s="91" t="s">
        <v>551</v>
      </c>
      <c r="N103" s="171">
        <v>45272</v>
      </c>
      <c r="P103" s="111" t="s">
        <v>652</v>
      </c>
      <c r="Q103" s="111"/>
    </row>
    <row r="104" spans="1:17">
      <c r="B104" s="47" t="s">
        <v>401</v>
      </c>
      <c r="C104" s="47" t="s">
        <v>615</v>
      </c>
      <c r="E104" s="110">
        <v>14.33</v>
      </c>
      <c r="F104" s="112">
        <v>1.55E-2</v>
      </c>
      <c r="G104" s="112">
        <v>-8.8400000000000006E-2</v>
      </c>
      <c r="H104" s="112">
        <v>-0.1183</v>
      </c>
      <c r="I104" s="112">
        <v>4.9299999999999997E-2</v>
      </c>
      <c r="J104" s="112">
        <v>7.0699999999999999E-2</v>
      </c>
      <c r="K104" s="112">
        <v>5.3600000000000002E-2</v>
      </c>
      <c r="L104" s="91">
        <v>45260</v>
      </c>
      <c r="M104" s="91" t="s">
        <v>551</v>
      </c>
      <c r="N104" s="253">
        <v>45272</v>
      </c>
      <c r="P104" s="111" t="s">
        <v>653</v>
      </c>
      <c r="Q104" s="111"/>
    </row>
    <row r="105" spans="1:17">
      <c r="B105" s="47" t="s">
        <v>407</v>
      </c>
      <c r="C105" s="47" t="s">
        <v>629</v>
      </c>
      <c r="E105" s="110">
        <v>24.37</v>
      </c>
      <c r="F105" s="109">
        <v>-8.0000000000000004E-4</v>
      </c>
      <c r="G105" s="109">
        <v>-2.7900000000000001E-2</v>
      </c>
      <c r="H105" s="109">
        <v>-6.4399999999999999E-2</v>
      </c>
      <c r="I105" s="109">
        <v>9.7600000000000006E-2</v>
      </c>
      <c r="J105" s="109">
        <v>9.4100000000000003E-2</v>
      </c>
      <c r="K105" s="109">
        <v>4.82E-2</v>
      </c>
      <c r="L105" s="91">
        <v>45230</v>
      </c>
      <c r="M105" s="91" t="s">
        <v>630</v>
      </c>
      <c r="N105" s="254">
        <v>45272</v>
      </c>
      <c r="O105" s="107"/>
      <c r="P105" s="165" t="s">
        <v>654</v>
      </c>
      <c r="Q105" s="93"/>
    </row>
    <row r="106" spans="1:17">
      <c r="A106" s="105"/>
      <c r="B106" s="105" t="s">
        <v>537</v>
      </c>
      <c r="C106" s="105"/>
      <c r="D106" s="105"/>
      <c r="E106" s="104"/>
      <c r="F106" s="104">
        <v>3.6000000000000003E-3</v>
      </c>
      <c r="G106" s="104">
        <v>1.4419999999999994E-2</v>
      </c>
      <c r="H106" s="104">
        <v>8.4999999999999989E-3</v>
      </c>
      <c r="I106" s="104">
        <v>0.11068888888888889</v>
      </c>
      <c r="J106" s="104">
        <v>8.7245454545454529E-2</v>
      </c>
      <c r="K106" s="104">
        <v>6.8000000000000005E-2</v>
      </c>
      <c r="L106" s="103"/>
      <c r="M106" s="103"/>
    </row>
    <row r="108" spans="1:17">
      <c r="B108" s="48"/>
      <c r="C108" s="48"/>
      <c r="D108" s="48"/>
      <c r="E108" s="48"/>
      <c r="F108" s="129"/>
      <c r="G108" s="129"/>
      <c r="H108" s="129"/>
      <c r="I108" s="129"/>
      <c r="J108" s="129"/>
      <c r="K108" s="129"/>
      <c r="L108" s="129"/>
      <c r="M108" s="129"/>
      <c r="P108" s="132"/>
    </row>
    <row r="109" spans="1:17">
      <c r="F109" s="100"/>
      <c r="G109" s="100"/>
      <c r="H109" s="100"/>
      <c r="I109" s="100"/>
      <c r="J109" s="100"/>
      <c r="L109" s="99"/>
      <c r="M109" s="90"/>
      <c r="N109" s="99"/>
      <c r="P109" s="133"/>
    </row>
    <row r="110" spans="1:17">
      <c r="F110" s="100"/>
      <c r="G110" s="100"/>
      <c r="H110" s="100"/>
      <c r="I110" s="100"/>
      <c r="J110" s="100"/>
      <c r="L110" s="99"/>
      <c r="M110" s="90"/>
      <c r="N110" s="99"/>
      <c r="P110" s="133"/>
    </row>
    <row r="111" spans="1:17">
      <c r="B111" s="48"/>
      <c r="C111" s="48"/>
      <c r="D111" s="48"/>
      <c r="E111" s="48"/>
      <c r="F111" s="92"/>
      <c r="G111" s="92"/>
      <c r="H111" s="92"/>
      <c r="I111" s="92"/>
      <c r="J111" s="92"/>
    </row>
    <row r="118" spans="11:11">
      <c r="K118" s="91"/>
    </row>
  </sheetData>
  <dataValidations count="1">
    <dataValidation allowBlank="1" showInputMessage="1" showErrorMessage="1" prompt="3-Months Trail" sqref="G93" xr:uid="{A58DA68E-18A5-D647-BD98-2BB29A9CDCC1}"/>
  </dataValidations>
  <hyperlinks>
    <hyperlink ref="P10" r:id="rId1" xr:uid="{0E08A235-0C03-0344-953E-B219EED9C42A}"/>
    <hyperlink ref="P12" r:id="rId2" xr:uid="{D2048B41-6439-3141-86C2-7BAECB04C30E}"/>
    <hyperlink ref="P24" r:id="rId3" xr:uid="{1AB5AA77-7C9E-6647-BDE4-69A89C48A67C}"/>
    <hyperlink ref="P13" r:id="rId4" xr:uid="{81DFF9C8-F7B4-B54F-80EA-CDE4E5701564}"/>
    <hyperlink ref="P14" r:id="rId5" xr:uid="{D935B468-372E-9F4C-9101-28F998E45DB1}"/>
    <hyperlink ref="P11" r:id="rId6" xr:uid="{46ACFE83-8D65-854D-8904-9488695F2FBF}"/>
    <hyperlink ref="Q12" r:id="rId7" xr:uid="{9FAD13C2-DE96-544F-BA1D-3C60F5FD683D}"/>
    <hyperlink ref="Q14" r:id="rId8" xr:uid="{07BA7DD8-8290-AE4E-9A47-7D0333E67500}"/>
    <hyperlink ref="P33" r:id="rId9" xr:uid="{27AA838C-67A9-6C4C-A39F-0BDA933E74F7}"/>
    <hyperlink ref="P38" r:id="rId10" xr:uid="{C7A39EB4-7161-9247-8053-CD244F3680CC}"/>
    <hyperlink ref="P94" r:id="rId11" xr:uid="{00726B48-5101-8047-A096-F61A9043FFA0}"/>
    <hyperlink ref="P95" r:id="rId12" xr:uid="{B72A7BBD-0710-C643-BB56-79E716B60B91}"/>
    <hyperlink ref="P96" r:id="rId13" xr:uid="{4E4A5DB5-C67A-1541-BD74-3948D576D593}"/>
    <hyperlink ref="P97" r:id="rId14" xr:uid="{AFEE8334-74A2-9641-A6DA-287E6178649F}"/>
    <hyperlink ref="P101" r:id="rId15" display="https://owlrockbdcs.com/" xr:uid="{61C9CD39-08C8-6E42-8D61-F5A65F681265}"/>
    <hyperlink ref="P35" r:id="rId16" xr:uid="{5D613CF1-264D-354F-A543-A580950B0ADB}"/>
    <hyperlink ref="P37" r:id="rId17" xr:uid="{1B0F624E-3718-0645-9490-5F0790EF88D6}"/>
    <hyperlink ref="P32" r:id="rId18" xr:uid="{2323EF72-268E-DD47-A480-7211C036E5A5}"/>
    <hyperlink ref="P41" r:id="rId19" xr:uid="{BE6E3B07-4275-B445-B81A-F33672A50DA8}"/>
    <hyperlink ref="P42" r:id="rId20" xr:uid="{9F290382-3A1B-F140-A679-206E99FD942B}"/>
    <hyperlink ref="P105" r:id="rId21" xr:uid="{356B0A2A-2BB8-514B-83A5-EA082340C4BF}"/>
    <hyperlink ref="P20" r:id="rId22" xr:uid="{16BDF4AC-441F-B447-9CD0-70AC5C7119C2}"/>
    <hyperlink ref="P98" r:id="rId23" xr:uid="{CB74008C-BE27-E34B-B93D-7E69FAE9B3E0}"/>
    <hyperlink ref="P19" r:id="rId24" xr:uid="{733F5FDF-CC7F-0441-B738-0530088D8880}"/>
    <hyperlink ref="P99" r:id="rId25" xr:uid="{CDEA1D4C-C07B-7849-BA71-4287179D3C73}"/>
    <hyperlink ref="P103" r:id="rId26" xr:uid="{2EDB98C3-EAB8-B54C-B051-6E269FE4B5F3}"/>
    <hyperlink ref="P15" r:id="rId27" xr:uid="{F5C364A0-9E82-ED47-A390-F54059B6EA1B}"/>
    <hyperlink ref="P43" r:id="rId28" xr:uid="{C14C6050-F1EB-2F46-AF65-F1A3537BAA44}"/>
    <hyperlink ref="P104" r:id="rId29" xr:uid="{F2415E7D-6F96-FF46-B695-1E87C59DE047}"/>
    <hyperlink ref="P45" r:id="rId30" xr:uid="{20B86C7B-1BD1-BE4A-808B-5D823E49B350}"/>
    <hyperlink ref="P31" r:id="rId31" xr:uid="{E698035D-552F-8C49-AC60-C0F2144877AD}"/>
    <hyperlink ref="P34" r:id="rId32" xr:uid="{7E30710C-DEB7-C948-8307-81BBEC46A5F9}"/>
    <hyperlink ref="P36" r:id="rId33" xr:uid="{DF35F02A-33E0-7244-A620-36C34566D1BC}"/>
    <hyperlink ref="P46" r:id="rId34" xr:uid="{880576C9-411D-3D4E-8BC2-C41172C005DE}"/>
    <hyperlink ref="P47" r:id="rId35" xr:uid="{6E8C8333-B4CD-0A41-88E6-7122BFE2A9B3}"/>
    <hyperlink ref="P44" r:id="rId36" xr:uid="{5C0782A6-C85B-1049-93DC-4C1920A31757}"/>
    <hyperlink ref="P27" r:id="rId37" xr:uid="{4076C91E-AB8B-854D-A59D-9E2A8F51E75E}"/>
    <hyperlink ref="P75" r:id="rId38" xr:uid="{3B63CD88-536D-5940-AF1D-98A7C21A59FC}"/>
    <hyperlink ref="P76" r:id="rId39" xr:uid="{8DAA2B27-E359-D147-A726-C4899405BAE8}"/>
    <hyperlink ref="R93" r:id="rId40" xr:uid="{B8A1F3C9-D622-2644-A166-6AFC63B3F242}"/>
    <hyperlink ref="Q85" r:id="rId41" xr:uid="{414C985A-48C2-194A-A5C5-71B3B98191E0}"/>
    <hyperlink ref="P59" r:id="rId42" xr:uid="{2E39C9BD-CC79-2945-9AFD-0676595CFFFB}"/>
    <hyperlink ref="P68" r:id="rId43" xr:uid="{A9C0ACAB-A9F3-5A49-A68E-981B8E46B8D0}"/>
    <hyperlink ref="P57" r:id="rId44" xr:uid="{97ADF5FD-44F7-9A47-81BE-353C6C569F3A}"/>
    <hyperlink ref="P66" r:id="rId45" xr:uid="{E5F49878-762B-164D-91E4-B8E0545CCD85}"/>
    <hyperlink ref="P60" r:id="rId46" xr:uid="{2ABA8557-F79D-4243-A61E-57F04859E29E}"/>
    <hyperlink ref="P85" r:id="rId47" xr:uid="{418C0DE6-BB0E-2141-B25C-89571F0253B1}"/>
    <hyperlink ref="P83" r:id="rId48" xr:uid="{DCB39295-724F-CC48-8B35-5EFD6ADEA7B7}"/>
    <hyperlink ref="P53" r:id="rId49" xr:uid="{4419A11A-EF5B-1546-AE1D-8132BA2961A0}"/>
    <hyperlink ref="P77" r:id="rId50" xr:uid="{9E7B5F74-8909-6340-886A-BF98870249FB}"/>
    <hyperlink ref="P65" r:id="rId51" xr:uid="{5C2C1E51-D887-054C-956C-A8FF75367745}"/>
    <hyperlink ref="P64" r:id="rId52" xr:uid="{A78624B8-9F40-C740-97CA-C1735ADB02C7}"/>
    <hyperlink ref="P56" r:id="rId53" xr:uid="{774E6E3E-8B61-DE44-B614-04E85D619259}"/>
    <hyperlink ref="P54" r:id="rId54" xr:uid="{61035BAB-24C9-8648-89CC-7DB87D585B7B}"/>
    <hyperlink ref="P61" r:id="rId55" xr:uid="{2D66ECD7-5BB7-7347-9001-28020EF6B728}"/>
    <hyperlink ref="P88" r:id="rId56" xr:uid="{AA64F9B6-9B8F-AD4E-AFB8-A1CA19DDDAF3}"/>
    <hyperlink ref="P63" r:id="rId57" xr:uid="{E35740FF-B25B-A24E-8BF2-F9DB5C4A4161}"/>
    <hyperlink ref="P58" r:id="rId58" xr:uid="{93EDFD52-CB71-234D-8C52-31C78BF1D787}"/>
    <hyperlink ref="P79" r:id="rId59" xr:uid="{31D5FD6C-BEB3-5D45-AB95-612BE2A06CCF}"/>
    <hyperlink ref="P74" r:id="rId60" xr:uid="{4DDC4D22-74D6-1842-883D-CE3D76E78F33}"/>
    <hyperlink ref="Q56" r:id="rId61" xr:uid="{F5ADF55F-34C0-8D45-B4E6-0777F0BCDE61}"/>
    <hyperlink ref="R56" r:id="rId62" xr:uid="{7225EE5A-F37D-5A49-AAA4-0F693614E761}"/>
    <hyperlink ref="Q93" r:id="rId63" xr:uid="{8F722F17-4290-664F-80AC-C6D339B840F7}"/>
    <hyperlink ref="P93" r:id="rId64" xr:uid="{142E2C38-B194-7048-A511-AC8B9563EE0F}"/>
    <hyperlink ref="P92" r:id="rId65" xr:uid="{4F76F59B-E877-5F45-ABD7-3229D5585D0A}"/>
    <hyperlink ref="Q83" r:id="rId66" xr:uid="{23799CC5-CA4B-B546-A49B-13A3105435E4}"/>
    <hyperlink ref="Q78" r:id="rId67" xr:uid="{63153A66-4FA2-6743-AE1B-05B26299BFA5}"/>
    <hyperlink ref="Q77" r:id="rId68" xr:uid="{9542E92C-B4CE-0845-BDCC-7E2D4E678139}"/>
    <hyperlink ref="P78" r:id="rId69" xr:uid="{A5F5C4DE-5AAB-D844-A722-3FD13739B065}"/>
    <hyperlink ref="P62" r:id="rId70" xr:uid="{716DD7B4-19BB-DA4B-9093-3158BE1C0182}"/>
    <hyperlink ref="R55" r:id="rId71" xr:uid="{7F13103B-B955-B743-B7F7-94B9913A8F30}"/>
    <hyperlink ref="Q55" r:id="rId72" xr:uid="{22B3E0F7-4FCB-6C43-9B49-229041D126A1}"/>
    <hyperlink ref="P55" r:id="rId73" xr:uid="{1CA23622-09D4-2D43-A95D-E2F84EB83B2A}"/>
    <hyperlink ref="Q54" r:id="rId74" xr:uid="{78CFD632-42E9-EF45-A3D4-9E3483466B67}"/>
    <hyperlink ref="Q53" r:id="rId75" xr:uid="{EB719468-25E2-D34B-BB54-38FF535D3B3C}"/>
    <hyperlink ref="P52" r:id="rId76" xr:uid="{3D3BAA8D-236A-1A48-AD21-307886231197}"/>
    <hyperlink ref="P86" r:id="rId77" location="I" xr:uid="{A03AC37D-6CE2-484C-A1F5-11FE0ECC8FF1}"/>
    <hyperlink ref="P84" r:id="rId78" xr:uid="{6DECE16D-2238-F244-8208-6BFEAF880911}"/>
    <hyperlink ref="P87" r:id="rId79" xr:uid="{3558051E-1947-B444-8727-D41045EB4968}"/>
    <hyperlink ref="P100" r:id="rId80" xr:uid="{44890FC7-11AE-E248-BE87-F27F7B2D8DD8}"/>
    <hyperlink ref="P67" r:id="rId81" xr:uid="{40668A3B-35D0-D142-80B5-4C3FECFFF13A}"/>
    <hyperlink ref="P40" r:id="rId82" xr:uid="{B0F0E12D-0036-2047-94B1-CF3FA9ADB6A0}"/>
  </hyperlinks>
  <pageMargins left="0.7" right="0.7" top="0.75" bottom="0.5" header="0.5" footer="0.3"/>
  <pageSetup scale="56" orientation="portrait" r:id="rId83"/>
  <headerFooter>
    <oddHeader>&amp;L&amp;"-,Bold"WEEKLY INVESTMENT REPORT</oddHeader>
    <oddFooter>&amp;RPage &amp;P of &amp;N</oddFooter>
  </headerFooter>
  <rowBreaks count="1" manualBreakCount="1">
    <brk id="47" max="12"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6603D-B474-4693-B402-2F0CF6A2AFBF}">
  <sheetPr codeName="Sheet8">
    <tabColor theme="3"/>
    <pageSetUpPr fitToPage="1"/>
  </sheetPr>
  <dimension ref="A1:Q108"/>
  <sheetViews>
    <sheetView topLeftCell="A25" zoomScaleNormal="100" zoomScaleSheetLayoutView="90" workbookViewId="0">
      <selection activeCell="B51" sqref="B51"/>
    </sheetView>
  </sheetViews>
  <sheetFormatPr baseColWidth="10" defaultColWidth="9.1640625" defaultRowHeight="12"/>
  <cols>
    <col min="1" max="1" width="18.33203125" style="48" customWidth="1"/>
    <col min="2" max="2" width="46.83203125" style="47" customWidth="1"/>
    <col min="3" max="3" width="6.6640625" style="47" customWidth="1"/>
    <col min="4" max="11" width="9.1640625" style="47" customWidth="1"/>
    <col min="12" max="12" width="9.33203125" style="47" bestFit="1" customWidth="1"/>
    <col min="13" max="13" width="9.1640625" style="47" customWidth="1"/>
    <col min="14" max="14" width="10.1640625" style="47" customWidth="1"/>
    <col min="15" max="15" width="32.5" style="89" customWidth="1"/>
    <col min="16" max="16" width="60.1640625" style="47" customWidth="1"/>
    <col min="17" max="17" width="65.5" style="47" customWidth="1"/>
    <col min="18" max="16384" width="9.1640625" style="47"/>
  </cols>
  <sheetData>
    <row r="1" spans="1:17">
      <c r="E1" s="48"/>
      <c r="K1" s="90" t="s">
        <v>655</v>
      </c>
      <c r="M1" s="149" t="s">
        <v>656</v>
      </c>
    </row>
    <row r="2" spans="1:17">
      <c r="E2" s="48"/>
      <c r="M2" s="148" t="s">
        <v>657</v>
      </c>
    </row>
    <row r="3" spans="1:17">
      <c r="E3" s="48"/>
      <c r="M3" s="147" t="s">
        <v>658</v>
      </c>
    </row>
    <row r="4" spans="1:17">
      <c r="E4" s="48"/>
      <c r="M4" s="146" t="s">
        <v>659</v>
      </c>
    </row>
    <row r="5" spans="1:17">
      <c r="K5" s="135"/>
      <c r="M5" s="145" t="s">
        <v>660</v>
      </c>
    </row>
    <row r="6" spans="1:17">
      <c r="K6" s="90"/>
      <c r="M6" s="144" t="s">
        <v>661</v>
      </c>
    </row>
    <row r="7" spans="1:17">
      <c r="A7" s="131" t="str">
        <f>'Plain View'!A7</f>
        <v>Traditional Investments</v>
      </c>
      <c r="C7" s="47">
        <f>'Plain View'!C7</f>
        <v>0</v>
      </c>
      <c r="D7" s="47">
        <f>'Plain View'!D7</f>
        <v>0</v>
      </c>
      <c r="E7" s="47">
        <f>'Plain View'!E7</f>
        <v>0</v>
      </c>
      <c r="F7" s="47">
        <f>'Plain View'!F7</f>
        <v>0</v>
      </c>
      <c r="G7" s="47">
        <f>'Plain View'!G7</f>
        <v>0</v>
      </c>
      <c r="H7" s="47">
        <f>'Plain View'!H7</f>
        <v>0</v>
      </c>
      <c r="I7" s="47">
        <f>'Plain View'!I7</f>
        <v>0</v>
      </c>
      <c r="J7" s="47">
        <f>'Plain View'!J7</f>
        <v>0</v>
      </c>
      <c r="K7" s="90">
        <f>'Plain View'!K7</f>
        <v>0</v>
      </c>
      <c r="L7" s="47">
        <f>'Plain View'!L7</f>
        <v>0</v>
      </c>
      <c r="M7" s="47">
        <f>'Plain View'!M7</f>
        <v>0</v>
      </c>
      <c r="N7" s="47">
        <f>'Plain View'!N7</f>
        <v>0</v>
      </c>
      <c r="O7" s="47">
        <f>'Plain View'!O7</f>
        <v>0</v>
      </c>
      <c r="P7" s="89">
        <f>'Plain View'!P7</f>
        <v>0</v>
      </c>
      <c r="Q7" s="47">
        <f>'Plain View'!Q7</f>
        <v>0</v>
      </c>
    </row>
    <row r="8" spans="1:17">
      <c r="A8" s="48">
        <f>'Plain View'!A8</f>
        <v>0</v>
      </c>
      <c r="B8" s="47">
        <f>'Plain View'!B8</f>
        <v>0</v>
      </c>
      <c r="C8" s="47">
        <f>'Plain View'!C8</f>
        <v>0</v>
      </c>
      <c r="D8" s="47">
        <f>'Plain View'!D8</f>
        <v>0</v>
      </c>
      <c r="E8" s="47">
        <f>'Plain View'!E8</f>
        <v>0</v>
      </c>
      <c r="F8" s="47">
        <f>'Plain View'!F8</f>
        <v>0</v>
      </c>
      <c r="G8" s="47">
        <f>'Plain View'!G8</f>
        <v>0</v>
      </c>
      <c r="H8" s="47">
        <f>'Plain View'!H8</f>
        <v>0</v>
      </c>
      <c r="I8" s="47">
        <f>'Plain View'!I8</f>
        <v>0</v>
      </c>
      <c r="J8" s="47">
        <f>'Plain View'!J8</f>
        <v>0</v>
      </c>
      <c r="K8" s="90">
        <f>'Plain View'!K8</f>
        <v>0</v>
      </c>
      <c r="L8" s="47">
        <f>'Plain View'!L8</f>
        <v>0</v>
      </c>
      <c r="M8" s="47">
        <f>'Plain View'!M8</f>
        <v>0</v>
      </c>
      <c r="N8" s="47">
        <f>'Plain View'!N8</f>
        <v>0</v>
      </c>
      <c r="O8" s="47">
        <f>'Plain View'!O8</f>
        <v>0</v>
      </c>
      <c r="P8" s="89">
        <f>'Plain View'!P8</f>
        <v>0</v>
      </c>
      <c r="Q8" s="47">
        <f>'Plain View'!Q8</f>
        <v>0</v>
      </c>
    </row>
    <row r="9" spans="1:17">
      <c r="A9" s="97">
        <f>'Plain View'!A9</f>
        <v>0</v>
      </c>
      <c r="B9" s="97" t="str">
        <f>'Plain View'!B9</f>
        <v>Name</v>
      </c>
      <c r="C9" s="97" t="str">
        <f>'Plain View'!C9</f>
        <v>Symbol</v>
      </c>
      <c r="D9" s="102" t="str">
        <f>'Plain View'!D9</f>
        <v>1-Week</v>
      </c>
      <c r="E9" s="102" t="str">
        <f>'Plain View'!E9</f>
        <v>1-Month</v>
      </c>
      <c r="F9" s="102" t="str">
        <f>'Plain View'!F9</f>
        <v>3-Month</v>
      </c>
      <c r="G9" s="102" t="str">
        <f>'Plain View'!G9</f>
        <v>YTD</v>
      </c>
      <c r="H9" s="102" t="str">
        <f>'Plain View'!H9</f>
        <v>1-Year</v>
      </c>
      <c r="I9" s="102" t="str">
        <f>'Plain View'!I9</f>
        <v>3-Year</v>
      </c>
      <c r="J9" s="102" t="str">
        <f>'Plain View'!J9</f>
        <v>5-Year</v>
      </c>
      <c r="K9" s="102" t="str">
        <f>'Plain View'!K9</f>
        <v>Yield</v>
      </c>
      <c r="L9" s="102" t="str">
        <f>'Plain View'!L9</f>
        <v>Value as of</v>
      </c>
      <c r="M9" s="102" t="str">
        <f>'Plain View'!M9</f>
        <v>Frequency</v>
      </c>
      <c r="N9" s="93">
        <f>'Plain View'!N9</f>
        <v>0</v>
      </c>
      <c r="O9" s="97" t="str">
        <f>'Plain View'!O9</f>
        <v>Notes</v>
      </c>
      <c r="P9" s="114" t="str">
        <f>'Plain View'!P9</f>
        <v>How to Update</v>
      </c>
      <c r="Q9" s="97" t="str">
        <f>'Plain View'!Q9</f>
        <v>Update Yield</v>
      </c>
    </row>
    <row r="10" spans="1:17">
      <c r="A10" s="48" t="str">
        <f>'Plain View'!A10</f>
        <v>Indices</v>
      </c>
      <c r="B10" s="47" t="str">
        <f>'Plain View'!B10</f>
        <v>S&amp;P 500</v>
      </c>
      <c r="C10" s="47" t="str">
        <f>'Plain View'!C10</f>
        <v>SPX</v>
      </c>
      <c r="D10" s="100">
        <f>'Plain View'!D10</f>
        <v>1.15E-2</v>
      </c>
      <c r="E10" s="100">
        <f>'Plain View'!E10</f>
        <v>4.6899999999999997E-2</v>
      </c>
      <c r="F10" s="100">
        <f>'Plain View'!F10</f>
        <v>3.0099999999999998E-2</v>
      </c>
      <c r="G10" s="100">
        <f>'Plain View'!G10</f>
        <v>0.2039</v>
      </c>
      <c r="H10" s="100">
        <f>'Plain View'!H10</f>
        <v>0.1749</v>
      </c>
      <c r="I10" s="100">
        <f>'Plain View'!I10</f>
        <v>8.0600000000000005E-2</v>
      </c>
      <c r="J10" s="100">
        <f>'Plain View'!J10</f>
        <v>0.1188</v>
      </c>
      <c r="K10" s="112" t="str">
        <f>'Plain View'!K10</f>
        <v>-</v>
      </c>
      <c r="L10" s="99">
        <f>'Plain View'!L10</f>
        <v>45271</v>
      </c>
      <c r="M10" s="90" t="str">
        <f>'Plain View'!M10</f>
        <v>Daily</v>
      </c>
      <c r="N10" s="47">
        <f>'Plain View'!N10</f>
        <v>0</v>
      </c>
      <c r="O10" s="47">
        <f>'Plain View'!O10</f>
        <v>0</v>
      </c>
      <c r="P10" s="106" t="str">
        <f>'Plain View'!P10</f>
        <v>https://www.morningstar.com/indexes/spi/spx/performance</v>
      </c>
      <c r="Q10" s="89">
        <f>'Plain View'!Q10</f>
        <v>0</v>
      </c>
    </row>
    <row r="11" spans="1:17">
      <c r="A11" s="48">
        <f>'Plain View'!A11</f>
        <v>0</v>
      </c>
      <c r="B11" s="47" t="str">
        <f>'Plain View'!B11</f>
        <v>Euro Stoxx 50</v>
      </c>
      <c r="C11" s="47" t="str">
        <f>'Plain View'!C11</f>
        <v>SX50E</v>
      </c>
      <c r="D11" s="100">
        <f>'Plain View'!D11</f>
        <v>2.8400000000000002E-2</v>
      </c>
      <c r="E11" s="100">
        <f>'Plain View'!E11</f>
        <v>8.3299999999999999E-2</v>
      </c>
      <c r="F11" s="100">
        <f>'Plain View'!F11</f>
        <v>7.0400000000000004E-2</v>
      </c>
      <c r="G11" s="100">
        <f>'Plain View'!G11</f>
        <v>0.23680000000000001</v>
      </c>
      <c r="H11" s="100">
        <f>'Plain View'!H11</f>
        <v>0.18679999999999999</v>
      </c>
      <c r="I11" s="100">
        <f>'Plain View'!I11</f>
        <v>0.1234</v>
      </c>
      <c r="J11" s="100">
        <f>'Plain View'!J11</f>
        <v>0.11360000000000001</v>
      </c>
      <c r="K11" s="112" t="str">
        <f>'Plain View'!K11</f>
        <v>-</v>
      </c>
      <c r="L11" s="99">
        <f>'Plain View'!L11</f>
        <v>45271</v>
      </c>
      <c r="M11" s="90" t="str">
        <f>'Plain View'!M11</f>
        <v>Daily</v>
      </c>
      <c r="N11" s="47">
        <f>'Plain View'!N11</f>
        <v>0</v>
      </c>
      <c r="O11" s="47">
        <f>'Plain View'!O11</f>
        <v>0</v>
      </c>
      <c r="P11" s="106" t="str">
        <f>'Plain View'!P11</f>
        <v>https://www.morningstar.com/etfs/xams/euea/performance</v>
      </c>
      <c r="Q11" s="89">
        <f>'Plain View'!Q11</f>
        <v>0</v>
      </c>
    </row>
    <row r="12" spans="1:17">
      <c r="A12" s="48">
        <f>'Plain View'!A12</f>
        <v>0</v>
      </c>
      <c r="B12" s="47" t="str">
        <f>'Plain View'!B12</f>
        <v>MSCI EAFE</v>
      </c>
      <c r="C12" s="47" t="str">
        <f>'Plain View'!C12</f>
        <v>EFA</v>
      </c>
      <c r="D12" s="100">
        <f>'Plain View'!D12</f>
        <v>9.7999999999999997E-3</v>
      </c>
      <c r="E12" s="100">
        <f>'Plain View'!E12</f>
        <v>6.1100000000000002E-2</v>
      </c>
      <c r="F12" s="100">
        <f>'Plain View'!F12</f>
        <v>3.09E-2</v>
      </c>
      <c r="G12" s="100">
        <f>'Plain View'!G12</f>
        <v>0.13769999999999999</v>
      </c>
      <c r="H12" s="100">
        <f>'Plain View'!H12</f>
        <v>0.1205</v>
      </c>
      <c r="I12" s="100">
        <f>'Plain View'!I12</f>
        <v>3.49E-2</v>
      </c>
      <c r="J12" s="100">
        <f>'Plain View'!J12</f>
        <v>6.9699999999999998E-2</v>
      </c>
      <c r="K12" s="109">
        <f>'Plain View'!K12</f>
        <v>2.18E-2</v>
      </c>
      <c r="L12" s="99">
        <f>'Plain View'!L12</f>
        <v>45271</v>
      </c>
      <c r="M12" s="90" t="str">
        <f>'Plain View'!M12</f>
        <v>Daily</v>
      </c>
      <c r="N12" s="47">
        <f>'Plain View'!N12</f>
        <v>0</v>
      </c>
      <c r="O12" s="47">
        <f>'Plain View'!O12</f>
        <v>0</v>
      </c>
      <c r="P12" s="106" t="str">
        <f>'Plain View'!P12</f>
        <v>https://www.morningstar.com/etfs/arcx/efa/performance</v>
      </c>
      <c r="Q12" s="98" t="str">
        <f>'Plain View'!Q12</f>
        <v>https://www.ishares.com/us/products/239623/ishares-msci-eafe-etf</v>
      </c>
    </row>
    <row r="13" spans="1:17">
      <c r="A13" s="48">
        <f>'Plain View'!A13</f>
        <v>0</v>
      </c>
      <c r="B13" s="47" t="str">
        <f>'Plain View'!B13</f>
        <v>MSIC Emerging Markets</v>
      </c>
      <c r="C13" s="47" t="str">
        <f>'Plain View'!C13</f>
        <v>EEM</v>
      </c>
      <c r="D13" s="100">
        <f>'Plain View'!D13</f>
        <v>-1E-3</v>
      </c>
      <c r="E13" s="100">
        <f>'Plain View'!E13</f>
        <v>2.3199999999999998E-2</v>
      </c>
      <c r="F13" s="100">
        <f>'Plain View'!F13</f>
        <v>1.2999999999999999E-3</v>
      </c>
      <c r="G13" s="100">
        <f>'Plain View'!G13</f>
        <v>4.3499999999999997E-2</v>
      </c>
      <c r="H13" s="100">
        <f>'Plain View'!H13</f>
        <v>2.8899999999999999E-2</v>
      </c>
      <c r="I13" s="100">
        <f>'Plain View'!I13</f>
        <v>-6.3100000000000003E-2</v>
      </c>
      <c r="J13" s="100">
        <f>'Plain View'!J13</f>
        <v>1.9599999999999999E-2</v>
      </c>
      <c r="K13" s="112">
        <f>'Plain View'!K13</f>
        <v>2.2599999999999999E-2</v>
      </c>
      <c r="L13" s="99">
        <f>'Plain View'!L13</f>
        <v>45271</v>
      </c>
      <c r="M13" s="90" t="str">
        <f>'Plain View'!M13</f>
        <v>Daily</v>
      </c>
      <c r="N13" s="47">
        <f>'Plain View'!N13</f>
        <v>0</v>
      </c>
      <c r="O13" s="47">
        <f>'Plain View'!O13</f>
        <v>0</v>
      </c>
      <c r="P13" s="106" t="str">
        <f>'Plain View'!P13</f>
        <v>https://www.morningstar.com/etfs/arcx/eem/performance</v>
      </c>
      <c r="Q13" s="89">
        <f>'Plain View'!Q13</f>
        <v>0</v>
      </c>
    </row>
    <row r="14" spans="1:17">
      <c r="A14" s="48">
        <f>'Plain View'!A14</f>
        <v>0</v>
      </c>
      <c r="B14" s="47" t="str">
        <f>'Plain View'!B14</f>
        <v>MSCI All Country World Index</v>
      </c>
      <c r="C14" s="47" t="str">
        <f>'Plain View'!C14</f>
        <v>ACWI</v>
      </c>
      <c r="D14" s="100">
        <f>'Plain View'!D14</f>
        <v>9.4999999999999998E-3</v>
      </c>
      <c r="E14" s="100">
        <f>'Plain View'!E14</f>
        <v>5.04E-2</v>
      </c>
      <c r="F14" s="100">
        <f>'Plain View'!F14</f>
        <v>3.0300000000000001E-2</v>
      </c>
      <c r="G14" s="100">
        <f>'Plain View'!G14</f>
        <v>0.17899999999999999</v>
      </c>
      <c r="H14" s="100">
        <f>'Plain View'!H14</f>
        <v>0.15459999999999999</v>
      </c>
      <c r="I14" s="100">
        <f>'Plain View'!I14</f>
        <v>5.4100000000000002E-2</v>
      </c>
      <c r="J14" s="100">
        <f>'Plain View'!J14</f>
        <v>0.1021</v>
      </c>
      <c r="K14" s="109">
        <f>'Plain View'!K14</f>
        <v>1.66E-2</v>
      </c>
      <c r="L14" s="99">
        <f>'Plain View'!L14</f>
        <v>45271</v>
      </c>
      <c r="M14" s="90" t="str">
        <f>'Plain View'!M14</f>
        <v>Daily</v>
      </c>
      <c r="N14" s="47">
        <f>'Plain View'!N14</f>
        <v>0</v>
      </c>
      <c r="O14" s="47">
        <f>'Plain View'!O14</f>
        <v>0</v>
      </c>
      <c r="P14" s="106" t="str">
        <f>'Plain View'!P14</f>
        <v>https://www.morningstar.com/etfs/xnas/acwi/performance</v>
      </c>
      <c r="Q14" s="98" t="str">
        <f>'Plain View'!Q14</f>
        <v>https://www.ishares.com/us/products/239600/?referrer=tickerSearch</v>
      </c>
    </row>
    <row r="15" spans="1:17">
      <c r="A15" s="97">
        <f>'Plain View'!A15</f>
        <v>0</v>
      </c>
      <c r="B15" s="93" t="str">
        <f>'Plain View'!B15</f>
        <v>Russell 2000</v>
      </c>
      <c r="C15" s="93" t="str">
        <f>'Plain View'!C15</f>
        <v>RUT</v>
      </c>
      <c r="D15" s="96">
        <f>'Plain View'!D15</f>
        <v>1.6000000000000001E-3</v>
      </c>
      <c r="E15" s="96">
        <f>'Plain View'!E15</f>
        <v>0.1069</v>
      </c>
      <c r="F15" s="96">
        <f>'Plain View'!F15</f>
        <v>2.0199999999999999E-2</v>
      </c>
      <c r="G15" s="96">
        <f>'Plain View'!G15</f>
        <v>8.5599999999999996E-2</v>
      </c>
      <c r="H15" s="96">
        <f>'Plain View'!H15</f>
        <v>6.4600000000000005E-2</v>
      </c>
      <c r="I15" s="96">
        <f>'Plain View'!I15</f>
        <v>7.3000000000000001E-3</v>
      </c>
      <c r="J15" s="96">
        <f>'Plain View'!J15</f>
        <v>6.8699999999999997E-2</v>
      </c>
      <c r="K15" s="119">
        <f>'Plain View'!K15</f>
        <v>1.5599999999999999E-2</v>
      </c>
      <c r="L15" s="94">
        <f>'Plain View'!L15</f>
        <v>45271</v>
      </c>
      <c r="M15" s="95" t="str">
        <f>'Plain View'!M15</f>
        <v>Daily</v>
      </c>
      <c r="N15" s="93">
        <f>'Plain View'!N15</f>
        <v>0</v>
      </c>
      <c r="O15" s="93">
        <f>'Plain View'!O15</f>
        <v>0</v>
      </c>
      <c r="P15" s="118" t="str">
        <f>'Plain View'!P15</f>
        <v>https://www.morningstar.com/etfs/arcx/iwm/performance</v>
      </c>
      <c r="Q15" s="107">
        <f>'Plain View'!Q15</f>
        <v>0</v>
      </c>
    </row>
    <row r="16" spans="1:17">
      <c r="A16" s="48">
        <f>'Plain View'!A16</f>
        <v>0</v>
      </c>
      <c r="B16" s="48" t="str">
        <f>'Plain View'!B16</f>
        <v>Average</v>
      </c>
      <c r="C16" s="48">
        <f>'Plain View'!C16</f>
        <v>0</v>
      </c>
      <c r="D16" s="92">
        <f>'Plain View'!D16</f>
        <v>9.9666666666666671E-3</v>
      </c>
      <c r="E16" s="92">
        <f>'Plain View'!E16</f>
        <v>6.1966666666666663E-2</v>
      </c>
      <c r="F16" s="92">
        <f>'Plain View'!F16</f>
        <v>3.0533333333333332E-2</v>
      </c>
      <c r="G16" s="92">
        <f>'Plain View'!G16</f>
        <v>0.14774999999999999</v>
      </c>
      <c r="H16" s="92">
        <f>'Plain View'!H16</f>
        <v>0.12171666666666665</v>
      </c>
      <c r="I16" s="92">
        <f>'Plain View'!I16</f>
        <v>3.9533333333333337E-2</v>
      </c>
      <c r="J16" s="92">
        <f>'Plain View'!J16</f>
        <v>8.2083333333333328E-2</v>
      </c>
      <c r="K16" s="122">
        <f>'Plain View'!K16</f>
        <v>1.915E-2</v>
      </c>
      <c r="L16" s="99">
        <f>'Plain View'!L16</f>
        <v>0</v>
      </c>
      <c r="M16" s="90">
        <f>'Plain View'!M16</f>
        <v>0</v>
      </c>
      <c r="N16" s="47">
        <f>'Plain View'!N16</f>
        <v>0</v>
      </c>
      <c r="O16" s="47">
        <f>'Plain View'!O16</f>
        <v>0</v>
      </c>
      <c r="P16" s="132">
        <f>'Plain View'!P16</f>
        <v>0</v>
      </c>
      <c r="Q16" s="89">
        <f>'Plain View'!Q16</f>
        <v>0</v>
      </c>
    </row>
    <row r="17" spans="1:17">
      <c r="A17" s="48">
        <f>'Plain View'!A17</f>
        <v>0</v>
      </c>
      <c r="B17" s="47">
        <f>'Plain View'!B17</f>
        <v>0</v>
      </c>
      <c r="C17" s="47">
        <f>'Plain View'!C17</f>
        <v>0</v>
      </c>
      <c r="D17" s="100">
        <f>'Plain View'!D17</f>
        <v>0</v>
      </c>
      <c r="E17" s="100">
        <f>'Plain View'!E17</f>
        <v>0</v>
      </c>
      <c r="F17" s="100">
        <f>'Plain View'!F17</f>
        <v>0</v>
      </c>
      <c r="G17" s="100">
        <f>'Plain View'!G17</f>
        <v>0</v>
      </c>
      <c r="H17" s="100">
        <f>'Plain View'!H17</f>
        <v>0</v>
      </c>
      <c r="I17" s="100">
        <f>'Plain View'!I17</f>
        <v>0</v>
      </c>
      <c r="J17" s="100">
        <f>'Plain View'!J17</f>
        <v>0</v>
      </c>
      <c r="K17" s="109">
        <f>'Plain View'!K17</f>
        <v>0</v>
      </c>
      <c r="L17" s="99">
        <f>'Plain View'!L17</f>
        <v>0</v>
      </c>
      <c r="M17" s="90">
        <f>'Plain View'!M17</f>
        <v>0</v>
      </c>
      <c r="N17" s="47">
        <f>'Plain View'!N17</f>
        <v>0</v>
      </c>
      <c r="O17" s="47">
        <f>'Plain View'!O17</f>
        <v>0</v>
      </c>
      <c r="P17" s="132">
        <f>'Plain View'!P17</f>
        <v>0</v>
      </c>
      <c r="Q17" s="89">
        <f>'Plain View'!Q17</f>
        <v>0</v>
      </c>
    </row>
    <row r="18" spans="1:17">
      <c r="A18" s="97">
        <f>'Plain View'!A18</f>
        <v>0</v>
      </c>
      <c r="B18" s="97" t="str">
        <f>'Plain View'!B18</f>
        <v>Name</v>
      </c>
      <c r="C18" s="97" t="str">
        <f>'Plain View'!C18</f>
        <v>Symbol</v>
      </c>
      <c r="D18" s="102" t="str">
        <f>'Plain View'!D18</f>
        <v>1-Week</v>
      </c>
      <c r="E18" s="102" t="str">
        <f>'Plain View'!E18</f>
        <v>1-Month</v>
      </c>
      <c r="F18" s="102" t="str">
        <f>'Plain View'!F18</f>
        <v>3-Month</v>
      </c>
      <c r="G18" s="102" t="str">
        <f>'Plain View'!G18</f>
        <v>YTD</v>
      </c>
      <c r="H18" s="102" t="str">
        <f>'Plain View'!H18</f>
        <v>1-Year</v>
      </c>
      <c r="I18" s="102" t="str">
        <f>'Plain View'!I18</f>
        <v>3-Year</v>
      </c>
      <c r="J18" s="102" t="str">
        <f>'Plain View'!J18</f>
        <v>5-Year</v>
      </c>
      <c r="K18" s="102" t="str">
        <f>'Plain View'!K18</f>
        <v>Yield</v>
      </c>
      <c r="L18" s="102" t="str">
        <f>'Plain View'!L18</f>
        <v>Value as of</v>
      </c>
      <c r="M18" s="102" t="str">
        <f>'Plain View'!M18</f>
        <v>Frequency</v>
      </c>
      <c r="N18" s="93">
        <f>'Plain View'!N18</f>
        <v>0</v>
      </c>
      <c r="O18" s="97" t="str">
        <f>'Plain View'!O18</f>
        <v>Notes</v>
      </c>
      <c r="P18" s="101">
        <f>'Plain View'!P18</f>
        <v>0</v>
      </c>
      <c r="Q18" s="107">
        <f>'Plain View'!Q18</f>
        <v>0</v>
      </c>
    </row>
    <row r="19" spans="1:17">
      <c r="A19" s="48" t="str">
        <f>'Plain View'!A19</f>
        <v>Oil</v>
      </c>
      <c r="B19" s="47" t="str">
        <f>'Plain View'!B19</f>
        <v>Brent Crude Oil</v>
      </c>
      <c r="C19" s="47" t="str">
        <f>'Plain View'!C19</f>
        <v>BRN</v>
      </c>
      <c r="D19" s="100">
        <f>'Plain View'!D19</f>
        <v>-4.7157067419869865E-2</v>
      </c>
      <c r="E19" s="100">
        <f>'Plain View'!E19</f>
        <v>-0.13692992213570634</v>
      </c>
      <c r="F19" s="100">
        <f>'Plain View'!F19</f>
        <v>-2.254976064499864E-2</v>
      </c>
      <c r="G19" s="100">
        <f>'Plain View'!G19</f>
        <v>-9.6845536026073722E-2</v>
      </c>
      <c r="H19" s="100">
        <f>'Plain View'!H19</f>
        <v>-0.16444109412018088</v>
      </c>
      <c r="I19" s="100">
        <f>'Plain View'!I19</f>
        <v>0.25180995475113122</v>
      </c>
      <c r="J19" s="100">
        <f>'Plain View'!J19</f>
        <v>4.8168878938109713E-2</v>
      </c>
      <c r="K19" s="112" t="str">
        <f>'Plain View'!K19</f>
        <v>-</v>
      </c>
      <c r="L19" s="99">
        <f>'Plain View'!L19</f>
        <v>45274</v>
      </c>
      <c r="M19" s="90" t="str">
        <f>'Plain View'!M19</f>
        <v>Daily</v>
      </c>
      <c r="N19" s="47">
        <f>'Plain View'!N19</f>
        <v>0</v>
      </c>
      <c r="O19" s="47">
        <f>'Plain View'!O19</f>
        <v>0</v>
      </c>
      <c r="P19" s="106" t="e">
        <f>'Plain View'!#REF!</f>
        <v>#REF!</v>
      </c>
      <c r="Q19" s="89" t="str">
        <f>'Plain View'!P19</f>
        <v>https://markets.businessinsider.com/commodities/oil-price</v>
      </c>
    </row>
    <row r="20" spans="1:17">
      <c r="A20" s="97">
        <f>'Plain View'!A20</f>
        <v>0</v>
      </c>
      <c r="B20" s="93" t="str">
        <f>'Plain View'!B20</f>
        <v>WTI Crude</v>
      </c>
      <c r="C20" s="93" t="str">
        <f>'Plain View'!C20</f>
        <v>WTI</v>
      </c>
      <c r="D20" s="96">
        <f>'Plain View'!D20</f>
        <v>-3.3205450456409644E-2</v>
      </c>
      <c r="E20" s="96">
        <f>'Plain View'!E20</f>
        <v>-0.15670436187399028</v>
      </c>
      <c r="F20" s="96">
        <f>'Plain View'!F20</f>
        <v>-7.9365079365079333E-2</v>
      </c>
      <c r="G20" s="96">
        <f>'Plain View'!G20</f>
        <v>-5.0045495905368623E-2</v>
      </c>
      <c r="H20" s="96">
        <f>'Plain View'!H20</f>
        <v>-0.14973821989528802</v>
      </c>
      <c r="I20" s="96">
        <f>'Plain View'!I20</f>
        <v>0.25407925407925408</v>
      </c>
      <c r="J20" s="96">
        <f>'Plain View'!J20</f>
        <v>8.988496628322093E-2</v>
      </c>
      <c r="K20" s="119" t="str">
        <f>'Plain View'!K20</f>
        <v>-</v>
      </c>
      <c r="L20" s="94">
        <f>'Plain View'!L20</f>
        <v>45274</v>
      </c>
      <c r="M20" s="95" t="str">
        <f>'Plain View'!M20</f>
        <v>Daily</v>
      </c>
      <c r="N20" s="93">
        <f>'Plain View'!N20</f>
        <v>0</v>
      </c>
      <c r="O20" s="93">
        <f>'Plain View'!O20</f>
        <v>0</v>
      </c>
      <c r="P20" s="118" t="e">
        <f>'Plain View'!#REF!</f>
        <v>#REF!</v>
      </c>
      <c r="Q20" s="107" t="str">
        <f>'Plain View'!P20</f>
        <v>https://markets.businessinsider.com/commodities/oil-price?type=wti</v>
      </c>
    </row>
    <row r="21" spans="1:17">
      <c r="A21" s="48">
        <f>'Plain View'!A21</f>
        <v>0</v>
      </c>
      <c r="B21" s="48" t="str">
        <f>'Plain View'!B21</f>
        <v>Average</v>
      </c>
      <c r="C21" s="48">
        <f>'Plain View'!C21</f>
        <v>0</v>
      </c>
      <c r="D21" s="92">
        <f>'Plain View'!D21</f>
        <v>-4.0181258938139758E-2</v>
      </c>
      <c r="E21" s="92">
        <f>'Plain View'!E21</f>
        <v>-0.1468171420048483</v>
      </c>
      <c r="F21" s="92">
        <f>'Plain View'!F21</f>
        <v>-5.0957420005038986E-2</v>
      </c>
      <c r="G21" s="92">
        <f>'Plain View'!G21</f>
        <v>-7.3445515965721173E-2</v>
      </c>
      <c r="H21" s="92">
        <f>'Plain View'!H21</f>
        <v>-0.15708965700773445</v>
      </c>
      <c r="I21" s="92">
        <f>'Plain View'!I21</f>
        <v>0.25294460441519262</v>
      </c>
      <c r="J21" s="92">
        <f>'Plain View'!J21</f>
        <v>6.9026922610665314E-2</v>
      </c>
      <c r="K21" s="109">
        <f>'Plain View'!K21</f>
        <v>0</v>
      </c>
      <c r="L21" s="99">
        <f>'Plain View'!L21</f>
        <v>0</v>
      </c>
      <c r="M21" s="90">
        <f>'Plain View'!M21</f>
        <v>0</v>
      </c>
      <c r="N21" s="47">
        <f>'Plain View'!N21</f>
        <v>0</v>
      </c>
      <c r="O21" s="47">
        <f>'Plain View'!O21</f>
        <v>0</v>
      </c>
      <c r="P21" s="121">
        <f>'Plain View'!P21</f>
        <v>0</v>
      </c>
      <c r="Q21" s="89">
        <f>'Plain View'!Q21</f>
        <v>0</v>
      </c>
    </row>
    <row r="22" spans="1:17">
      <c r="A22" s="48">
        <f>'Plain View'!A22</f>
        <v>0</v>
      </c>
      <c r="B22" s="47">
        <f>'Plain View'!B22</f>
        <v>0</v>
      </c>
      <c r="C22" s="47">
        <f>'Plain View'!C22</f>
        <v>0</v>
      </c>
      <c r="D22" s="100">
        <f>'Plain View'!D22</f>
        <v>0</v>
      </c>
      <c r="E22" s="100">
        <f>'Plain View'!E22</f>
        <v>0</v>
      </c>
      <c r="F22" s="100">
        <f>'Plain View'!F22</f>
        <v>0</v>
      </c>
      <c r="G22" s="100">
        <f>'Plain View'!G22</f>
        <v>0</v>
      </c>
      <c r="H22" s="100">
        <f>'Plain View'!H22</f>
        <v>0</v>
      </c>
      <c r="I22" s="100">
        <f>'Plain View'!I22</f>
        <v>0</v>
      </c>
      <c r="J22" s="100">
        <f>'Plain View'!J22</f>
        <v>0</v>
      </c>
      <c r="K22" s="109">
        <f>'Plain View'!K22</f>
        <v>0</v>
      </c>
      <c r="L22" s="99">
        <f>'Plain View'!L22</f>
        <v>0</v>
      </c>
      <c r="M22" s="90">
        <f>'Plain View'!M22</f>
        <v>0</v>
      </c>
      <c r="N22" s="47">
        <f>'Plain View'!N22</f>
        <v>0</v>
      </c>
      <c r="O22" s="47">
        <f>'Plain View'!O22</f>
        <v>0</v>
      </c>
      <c r="P22" s="121">
        <f>'Plain View'!P22</f>
        <v>0</v>
      </c>
      <c r="Q22" s="89">
        <f>'Plain View'!Q22</f>
        <v>0</v>
      </c>
    </row>
    <row r="23" spans="1:17">
      <c r="A23" s="97">
        <f>'Plain View'!A23</f>
        <v>0</v>
      </c>
      <c r="B23" s="97" t="str">
        <f>'Plain View'!B23</f>
        <v>Name</v>
      </c>
      <c r="C23" s="97" t="str">
        <f>'Plain View'!C23</f>
        <v>Symbol</v>
      </c>
      <c r="D23" s="102" t="str">
        <f>'Plain View'!D23</f>
        <v>1-Week</v>
      </c>
      <c r="E23" s="102" t="str">
        <f>'Plain View'!E23</f>
        <v>1-Month</v>
      </c>
      <c r="F23" s="102" t="str">
        <f>'Plain View'!F23</f>
        <v>3-Month</v>
      </c>
      <c r="G23" s="102" t="str">
        <f>'Plain View'!G23</f>
        <v>YTD</v>
      </c>
      <c r="H23" s="102" t="str">
        <f>'Plain View'!H23</f>
        <v>1-Year</v>
      </c>
      <c r="I23" s="102" t="str">
        <f>'Plain View'!I23</f>
        <v>3-Year</v>
      </c>
      <c r="J23" s="102" t="str">
        <f>'Plain View'!J23</f>
        <v>5-Year</v>
      </c>
      <c r="K23" s="102" t="str">
        <f>'Plain View'!K23</f>
        <v>Yield</v>
      </c>
      <c r="L23" s="102" t="str">
        <f>'Plain View'!L23</f>
        <v>Value as of</v>
      </c>
      <c r="M23" s="102" t="str">
        <f>'Plain View'!M23</f>
        <v>Frequency</v>
      </c>
      <c r="N23" s="93">
        <f>'Plain View'!N23</f>
        <v>0</v>
      </c>
      <c r="O23" s="97" t="str">
        <f>'Plain View'!O23</f>
        <v>Notes</v>
      </c>
      <c r="P23" s="107">
        <f>'Plain View'!P23</f>
        <v>0</v>
      </c>
      <c r="Q23" s="107">
        <f>'Plain View'!Q23</f>
        <v>0</v>
      </c>
    </row>
    <row r="24" spans="1:17">
      <c r="A24" s="48" t="str">
        <f>'Plain View'!A24</f>
        <v>Property</v>
      </c>
      <c r="B24" s="47" t="str">
        <f>'Plain View'!B24</f>
        <v>FTSE NAREIT Composite</v>
      </c>
      <c r="C24" s="47" t="str">
        <f>'Plain View'!C24</f>
        <v>Nareit</v>
      </c>
      <c r="D24" s="100">
        <f>'Plain View'!D24</f>
        <v>-7.1999999999999998E-3</v>
      </c>
      <c r="E24" s="100">
        <f>'Plain View'!E24</f>
        <v>0.10199999999999999</v>
      </c>
      <c r="F24" s="100">
        <f>'Plain View'!F24</f>
        <v>1.77E-2</v>
      </c>
      <c r="G24" s="100">
        <f>'Plain View'!G24</f>
        <v>3.09E-2</v>
      </c>
      <c r="H24" s="100">
        <f>'Plain View'!H24</f>
        <v>-2.3400000000000001E-2</v>
      </c>
      <c r="I24" s="112" t="str">
        <f>'Plain View'!I24</f>
        <v>-</v>
      </c>
      <c r="J24" s="112" t="str">
        <f>'Plain View'!J24</f>
        <v>-</v>
      </c>
      <c r="K24" s="109" t="str">
        <f>'Plain View'!K24</f>
        <v>-</v>
      </c>
      <c r="L24" s="99">
        <f>'Plain View'!L24</f>
        <v>45271</v>
      </c>
      <c r="M24" s="90" t="str">
        <f>'Plain View'!M24</f>
        <v>Daily</v>
      </c>
      <c r="N24" s="47">
        <f>'Plain View'!N24</f>
        <v>0</v>
      </c>
      <c r="O24" s="47">
        <f>'Plain View'!O24</f>
        <v>0</v>
      </c>
      <c r="P24" s="106" t="str">
        <f>'Plain View'!P24</f>
        <v>http://www.ftse.com/products/indices/nareit?_ga=2.244761414.25409972.1511797843-346677419.1511192767</v>
      </c>
      <c r="Q24" s="89">
        <f>'Plain View'!Q24</f>
        <v>0</v>
      </c>
    </row>
    <row r="25" spans="1:17">
      <c r="A25" s="48">
        <f>'Plain View'!A25</f>
        <v>0</v>
      </c>
      <c r="B25" s="47">
        <f>'Plain View'!B25</f>
        <v>0</v>
      </c>
      <c r="C25" s="47">
        <f>'Plain View'!C25</f>
        <v>0</v>
      </c>
      <c r="D25" s="100">
        <f>'Plain View'!D25</f>
        <v>0</v>
      </c>
      <c r="E25" s="100">
        <f>'Plain View'!E25</f>
        <v>0</v>
      </c>
      <c r="F25" s="100">
        <f>'Plain View'!F25</f>
        <v>0</v>
      </c>
      <c r="G25" s="100">
        <f>'Plain View'!G25</f>
        <v>0</v>
      </c>
      <c r="H25" s="100">
        <f>'Plain View'!H25</f>
        <v>0</v>
      </c>
      <c r="I25" s="100">
        <f>'Plain View'!I25</f>
        <v>0</v>
      </c>
      <c r="J25" s="100">
        <f>'Plain View'!J25</f>
        <v>0</v>
      </c>
      <c r="K25" s="109">
        <f>'Plain View'!K25</f>
        <v>0</v>
      </c>
      <c r="L25" s="99">
        <f>'Plain View'!L25</f>
        <v>0</v>
      </c>
      <c r="M25" s="90">
        <f>'Plain View'!M25</f>
        <v>0</v>
      </c>
      <c r="N25" s="47">
        <f>'Plain View'!N25</f>
        <v>0</v>
      </c>
      <c r="O25" s="47">
        <f>'Plain View'!O25</f>
        <v>0</v>
      </c>
      <c r="P25" s="121">
        <f>'Plain View'!P25</f>
        <v>0</v>
      </c>
      <c r="Q25" s="89">
        <f>'Plain View'!Q25</f>
        <v>0</v>
      </c>
    </row>
    <row r="26" spans="1:17">
      <c r="A26" s="48">
        <f>'Plain View'!A26</f>
        <v>0</v>
      </c>
      <c r="B26" s="47">
        <f>'Plain View'!B26</f>
        <v>0</v>
      </c>
      <c r="C26" s="47">
        <f>'Plain View'!C26</f>
        <v>0</v>
      </c>
      <c r="D26" s="129" t="str">
        <f>'Plain View'!D26</f>
        <v>4Q2022</v>
      </c>
      <c r="E26" s="129" t="str">
        <f>'Plain View'!E26</f>
        <v>1Q2023</v>
      </c>
      <c r="F26" s="129" t="str">
        <f>'Plain View'!F26</f>
        <v>2Q2023</v>
      </c>
      <c r="G26" s="129" t="str">
        <f>'Plain View'!G26</f>
        <v>3Q2023</v>
      </c>
      <c r="H26" s="47" t="e">
        <f>'Plain View'!#REF!</f>
        <v>#REF!</v>
      </c>
      <c r="I26" s="47">
        <f>'Plain View'!I26</f>
        <v>0</v>
      </c>
      <c r="J26" s="47">
        <f>'Plain View'!J26</f>
        <v>0</v>
      </c>
      <c r="K26" s="90">
        <f>'Plain View'!K26</f>
        <v>0</v>
      </c>
      <c r="L26" s="99">
        <f>'Plain View'!L26</f>
        <v>0</v>
      </c>
      <c r="M26" s="47">
        <f>'Plain View'!M26</f>
        <v>0</v>
      </c>
      <c r="N26" s="47">
        <f>'Plain View'!N26</f>
        <v>0</v>
      </c>
      <c r="O26" s="47">
        <f>'Plain View'!O26</f>
        <v>0</v>
      </c>
      <c r="P26" s="121">
        <f>'Plain View'!P26</f>
        <v>0</v>
      </c>
      <c r="Q26" s="89">
        <f>'Plain View'!Q26</f>
        <v>0</v>
      </c>
    </row>
    <row r="27" spans="1:17">
      <c r="A27" s="97">
        <f>'Plain View'!A27</f>
        <v>0</v>
      </c>
      <c r="B27" s="93" t="str">
        <f>'Plain View'!B27</f>
        <v>NCREIF Property Index</v>
      </c>
      <c r="C27" s="93" t="str">
        <f>'Plain View'!C27</f>
        <v>NPI</v>
      </c>
      <c r="D27" s="96">
        <f>'Plain View'!D27</f>
        <v>-3.5000000000000003E-2</v>
      </c>
      <c r="E27" s="96">
        <f>'Plain View'!E27</f>
        <v>-1.8100000000000002E-2</v>
      </c>
      <c r="F27" s="96">
        <f>'Plain View'!F27</f>
        <v>-1.9800000000000002E-2</v>
      </c>
      <c r="G27" s="96">
        <f>'Plain View'!G27</f>
        <v>-1.37E-2</v>
      </c>
      <c r="H27" s="93">
        <f>'Plain View'!H27</f>
        <v>0</v>
      </c>
      <c r="I27" s="93">
        <f>'Plain View'!I27</f>
        <v>0</v>
      </c>
      <c r="J27" s="93">
        <f>'Plain View'!J27</f>
        <v>0</v>
      </c>
      <c r="K27" s="95">
        <f>'Plain View'!K27</f>
        <v>0</v>
      </c>
      <c r="L27" s="94">
        <f>'Plain View'!L27</f>
        <v>45246</v>
      </c>
      <c r="M27" s="95" t="str">
        <f>'Plain View'!M27</f>
        <v>Quarterly</v>
      </c>
      <c r="N27" s="93">
        <f>'Plain View'!N27</f>
        <v>0</v>
      </c>
      <c r="O27" s="93">
        <f>'Plain View'!O27</f>
        <v>0</v>
      </c>
      <c r="P27" s="118" t="str">
        <f>'Plain View'!P27</f>
        <v>https://user.ncreif.org/data-products/property/</v>
      </c>
      <c r="Q27" s="93">
        <f>'Plain View'!Q27</f>
        <v>0</v>
      </c>
    </row>
    <row r="28" spans="1:17">
      <c r="A28" s="48">
        <f>'Plain View'!A28</f>
        <v>0</v>
      </c>
      <c r="B28" s="48" t="str">
        <f>'Plain View'!B28</f>
        <v>Average</v>
      </c>
      <c r="C28" s="48">
        <f>'Plain View'!C28</f>
        <v>0</v>
      </c>
      <c r="D28" s="48">
        <f>'Plain View'!D28</f>
        <v>0</v>
      </c>
      <c r="E28" s="48">
        <f>'Plain View'!E28</f>
        <v>0</v>
      </c>
      <c r="F28" s="48">
        <f>'Plain View'!F28</f>
        <v>0</v>
      </c>
      <c r="G28" s="92">
        <f>'Plain View'!G28</f>
        <v>8.6E-3</v>
      </c>
      <c r="H28" s="48">
        <f>'Plain View'!H28</f>
        <v>0</v>
      </c>
      <c r="I28" s="48">
        <f>'Plain View'!I28</f>
        <v>0</v>
      </c>
      <c r="J28" s="48">
        <f>'Plain View'!J28</f>
        <v>0</v>
      </c>
      <c r="K28" s="129">
        <f>'Plain View'!K28</f>
        <v>0</v>
      </c>
      <c r="L28" s="48">
        <f>'Plain View'!L28</f>
        <v>0</v>
      </c>
      <c r="M28" s="48">
        <f>'Plain View'!M28</f>
        <v>0</v>
      </c>
      <c r="N28" s="47">
        <f>'Plain View'!N28</f>
        <v>0</v>
      </c>
      <c r="O28" s="47">
        <f>'Plain View'!O28</f>
        <v>0</v>
      </c>
      <c r="P28" s="132">
        <f>'Plain View'!P28</f>
        <v>0</v>
      </c>
      <c r="Q28" s="47">
        <f>'Plain View'!Q28</f>
        <v>0</v>
      </c>
    </row>
    <row r="29" spans="1:17">
      <c r="A29" s="48">
        <f>'Plain View'!A29</f>
        <v>0</v>
      </c>
      <c r="B29" s="48">
        <f>'Plain View'!B29</f>
        <v>0</v>
      </c>
      <c r="C29" s="48">
        <f>'Plain View'!C29</f>
        <v>0</v>
      </c>
      <c r="D29" s="48">
        <f>'Plain View'!D29</f>
        <v>0</v>
      </c>
      <c r="E29" s="48">
        <f>'Plain View'!E29</f>
        <v>0</v>
      </c>
      <c r="F29" s="48">
        <f>'Plain View'!F29</f>
        <v>0</v>
      </c>
      <c r="G29" s="92">
        <f>'Plain View'!G29</f>
        <v>0</v>
      </c>
      <c r="H29" s="48">
        <f>'Plain View'!H29</f>
        <v>0</v>
      </c>
      <c r="I29" s="48">
        <f>'Plain View'!I29</f>
        <v>0</v>
      </c>
      <c r="J29" s="48">
        <f>'Plain View'!J29</f>
        <v>0</v>
      </c>
      <c r="K29" s="129">
        <f>'Plain View'!K29</f>
        <v>0</v>
      </c>
      <c r="L29" s="48">
        <f>'Plain View'!L29</f>
        <v>0</v>
      </c>
      <c r="M29" s="48">
        <f>'Plain View'!M29</f>
        <v>0</v>
      </c>
      <c r="N29" s="47">
        <f>'Plain View'!N29</f>
        <v>0</v>
      </c>
      <c r="O29" s="47">
        <f>'Plain View'!O29</f>
        <v>0</v>
      </c>
      <c r="P29" s="132">
        <f>'Plain View'!P29</f>
        <v>0</v>
      </c>
      <c r="Q29" s="47">
        <f>'Plain View'!Q29</f>
        <v>0</v>
      </c>
    </row>
    <row r="30" spans="1:17">
      <c r="A30" s="48">
        <f>'Plain View'!A30</f>
        <v>0</v>
      </c>
      <c r="B30" s="97" t="str">
        <f>'Plain View'!B30</f>
        <v>Name</v>
      </c>
      <c r="C30" s="97" t="str">
        <f>'Plain View'!C30</f>
        <v>Symbol</v>
      </c>
      <c r="D30" s="102" t="str">
        <f>'Plain View'!D30</f>
        <v>1-Week</v>
      </c>
      <c r="E30" s="102" t="str">
        <f>'Plain View'!E30</f>
        <v>1-Month</v>
      </c>
      <c r="F30" s="102" t="str">
        <f>'Plain View'!F30</f>
        <v>3-Month</v>
      </c>
      <c r="G30" s="102" t="str">
        <f>'Plain View'!G30</f>
        <v>YTD</v>
      </c>
      <c r="H30" s="102" t="str">
        <f>'Plain View'!H30</f>
        <v>1-Year</v>
      </c>
      <c r="I30" s="102" t="str">
        <f>'Plain View'!I30</f>
        <v>3-Year</v>
      </c>
      <c r="J30" s="102" t="str">
        <f>'Plain View'!J30</f>
        <v>5-Year</v>
      </c>
      <c r="K30" s="102" t="str">
        <f>'Plain View'!K30</f>
        <v>Yield</v>
      </c>
      <c r="L30" s="102" t="str">
        <f>'Plain View'!L30</f>
        <v>Value as of</v>
      </c>
      <c r="M30" s="102" t="str">
        <f>'Plain View'!M30</f>
        <v>Frequency</v>
      </c>
      <c r="N30" s="93">
        <f>'Plain View'!N30</f>
        <v>0</v>
      </c>
      <c r="O30" s="97">
        <f>'Plain View'!O46</f>
        <v>0</v>
      </c>
      <c r="P30" s="101">
        <f>'Plain View'!P30</f>
        <v>0</v>
      </c>
      <c r="Q30" s="93">
        <f>'Plain View'!Q30</f>
        <v>0</v>
      </c>
    </row>
    <row r="31" spans="1:17">
      <c r="A31" s="105" t="str">
        <f>'Plain View'!A31</f>
        <v>Stocks</v>
      </c>
      <c r="B31" s="47" t="str">
        <f>'Plain View'!B31</f>
        <v xml:space="preserve">Advanced Micro Devices </v>
      </c>
      <c r="C31" s="47" t="str">
        <f>'Plain View'!C31</f>
        <v>AMD</v>
      </c>
      <c r="D31" s="109">
        <f>'Plain View'!D31</f>
        <v>0.1336</v>
      </c>
      <c r="E31" s="109">
        <f>'Plain View'!E31</f>
        <v>0.13339999999999999</v>
      </c>
      <c r="F31" s="109">
        <f>'Plain View'!F31</f>
        <v>0.2762</v>
      </c>
      <c r="G31" s="109">
        <f>'Plain View'!G31</f>
        <v>1.0751999999999999</v>
      </c>
      <c r="H31" s="109">
        <f>'Plain View'!H31</f>
        <v>0.95960000000000001</v>
      </c>
      <c r="I31" s="109">
        <f>'Plain View'!I31</f>
        <v>0.1361</v>
      </c>
      <c r="J31" s="109">
        <f>'Plain View'!J31</f>
        <v>0.46410000000000001</v>
      </c>
      <c r="K31" s="109">
        <f>'Plain View'!K31</f>
        <v>0</v>
      </c>
      <c r="L31" s="99">
        <f>'Plain View'!L31</f>
        <v>45271</v>
      </c>
      <c r="M31" s="90" t="str">
        <f>'Plain View'!M31</f>
        <v>Daily</v>
      </c>
      <c r="N31" s="47">
        <f>'Plain View'!N31</f>
        <v>0</v>
      </c>
      <c r="O31" s="47">
        <f>'Plain View'!O31</f>
        <v>0</v>
      </c>
      <c r="P31" s="132"/>
    </row>
    <row r="32" spans="1:17">
      <c r="A32" s="47"/>
      <c r="B32" s="47" t="str">
        <f>'Plain View'!B32</f>
        <v>American Airlines Group Inc</v>
      </c>
      <c r="C32" s="47" t="str">
        <f>'Plain View'!C32</f>
        <v>AAL</v>
      </c>
      <c r="D32" s="109">
        <f>'Plain View'!D32</f>
        <v>2.7699999999999999E-2</v>
      </c>
      <c r="E32" s="109">
        <f>'Plain View'!E32</f>
        <v>0.16270000000000001</v>
      </c>
      <c r="F32" s="109">
        <f>'Plain View'!F32</f>
        <v>-2.63E-2</v>
      </c>
      <c r="G32" s="109">
        <f>'Plain View'!G32</f>
        <v>7.8600000000000003E-2</v>
      </c>
      <c r="H32" s="109">
        <f>'Plain View'!H32</f>
        <v>1.4E-2</v>
      </c>
      <c r="I32" s="109">
        <f>'Plain View'!I32</f>
        <v>-6.9900000000000004E-2</v>
      </c>
      <c r="J32" s="109">
        <f>'Plain View'!J32</f>
        <v>-0.1605</v>
      </c>
      <c r="K32" s="109">
        <f>'Plain View'!K32</f>
        <v>0</v>
      </c>
      <c r="L32" s="99">
        <f>'Plain View'!L32</f>
        <v>45271</v>
      </c>
      <c r="M32" s="90" t="str">
        <f>'Plain View'!M32</f>
        <v>Daily</v>
      </c>
      <c r="N32" s="47">
        <f>'Plain View'!N32</f>
        <v>0</v>
      </c>
      <c r="O32" s="47">
        <f>'Plain View'!O32</f>
        <v>0</v>
      </c>
      <c r="P32" s="132"/>
    </row>
    <row r="33" spans="1:17">
      <c r="A33" s="48">
        <f>'Plain View'!A33</f>
        <v>0</v>
      </c>
      <c r="B33" s="47" t="str">
        <f>'Plain View'!B33</f>
        <v>Ares Capital Corp</v>
      </c>
      <c r="C33" s="47" t="str">
        <f>'Plain View'!C33</f>
        <v>ARCC</v>
      </c>
      <c r="D33" s="109">
        <f>'Plain View'!D33</f>
        <v>1.01E-2</v>
      </c>
      <c r="E33" s="109">
        <f>'Plain View'!E33</f>
        <v>2.29E-2</v>
      </c>
      <c r="F33" s="109">
        <f>'Plain View'!F33</f>
        <v>4.7399999999999998E-2</v>
      </c>
      <c r="G33" s="109">
        <f>'Plain View'!G33</f>
        <v>0.1641</v>
      </c>
      <c r="H33" s="109">
        <f>'Plain View'!H33</f>
        <v>0.1487</v>
      </c>
      <c r="I33" s="109">
        <f>'Plain View'!I33</f>
        <v>0.14349999999999999</v>
      </c>
      <c r="J33" s="109">
        <f>'Plain View'!J33</f>
        <v>0.11700000000000001</v>
      </c>
      <c r="K33" s="109">
        <f>'Plain View'!K33</f>
        <v>9.5699999999999993E-2</v>
      </c>
      <c r="L33" s="91">
        <f>'Plain View'!L33</f>
        <v>45271</v>
      </c>
      <c r="M33" s="90" t="str">
        <f>'Plain View'!M33</f>
        <v>Daily</v>
      </c>
      <c r="N33" s="47">
        <f>'Plain View'!N33</f>
        <v>0</v>
      </c>
      <c r="O33" s="47">
        <f>'Plain View'!O33</f>
        <v>0</v>
      </c>
      <c r="P33" s="106" t="str">
        <f>'Plain View'!P33</f>
        <v>https://www.morningstar.com/stocks/xnas/arcc/trailing-returns</v>
      </c>
      <c r="Q33" s="89">
        <f>'Plain View'!Q33</f>
        <v>0</v>
      </c>
    </row>
    <row r="34" spans="1:17">
      <c r="B34" s="47" t="str">
        <f>'Plain View'!B34</f>
        <v>Ark Fintech Innovation</v>
      </c>
      <c r="C34" s="47" t="str">
        <f>'Plain View'!C34</f>
        <v>ARKF</v>
      </c>
      <c r="D34" s="109">
        <f>'Plain View'!D34</f>
        <v>1.66E-2</v>
      </c>
      <c r="E34" s="109">
        <f>'Plain View'!E34</f>
        <v>0.22950000000000001</v>
      </c>
      <c r="F34" s="109">
        <f>'Plain View'!F34</f>
        <v>0.17510000000000001</v>
      </c>
      <c r="G34" s="109">
        <f>'Plain View'!G34</f>
        <v>0.76100000000000001</v>
      </c>
      <c r="H34" s="109">
        <f>'Plain View'!H34</f>
        <v>0.64680000000000004</v>
      </c>
      <c r="I34" s="109">
        <f>'Plain View'!I34</f>
        <v>-0.19339999999999999</v>
      </c>
      <c r="J34" s="109" t="str">
        <f>'Plain View'!J34</f>
        <v>—</v>
      </c>
      <c r="K34" s="109">
        <f>'Plain View'!K34</f>
        <v>0</v>
      </c>
      <c r="L34" s="91">
        <f>'Plain View'!L34</f>
        <v>45271</v>
      </c>
      <c r="M34" s="90" t="str">
        <f>'Plain View'!M34</f>
        <v>Daily</v>
      </c>
      <c r="N34" s="47">
        <f>'Plain View'!N34</f>
        <v>0</v>
      </c>
      <c r="O34" s="47">
        <f>'Plain View'!O34</f>
        <v>0</v>
      </c>
      <c r="P34" s="106" t="str">
        <f>'Plain View'!P34</f>
        <v>https://www.morningstar.com/etfs/arcx/arkf/performance</v>
      </c>
      <c r="Q34" s="89"/>
    </row>
    <row r="35" spans="1:17">
      <c r="B35" s="47" t="str">
        <f>'Plain View'!B35</f>
        <v>Carnival Corp</v>
      </c>
      <c r="C35" s="47" t="str">
        <f>'Plain View'!C35</f>
        <v>CCL</v>
      </c>
      <c r="D35" s="109">
        <f>'Plain View'!D35</f>
        <v>-2.6499999999999999E-2</v>
      </c>
      <c r="E35" s="109">
        <f>'Plain View'!E35</f>
        <v>0.38169999999999998</v>
      </c>
      <c r="F35" s="109">
        <f>'Plain View'!F35</f>
        <v>0.1389</v>
      </c>
      <c r="G35" s="109">
        <f>'Plain View'!G35</f>
        <v>1.1873</v>
      </c>
      <c r="H35" s="109">
        <f>'Plain View'!H35</f>
        <v>0.98760000000000003</v>
      </c>
      <c r="I35" s="109">
        <f>'Plain View'!I35</f>
        <v>-6.1400000000000003E-2</v>
      </c>
      <c r="J35" s="109">
        <f>'Plain View'!J35</f>
        <v>-0.18529999999999999</v>
      </c>
      <c r="K35" s="109">
        <f>'Plain View'!K35</f>
        <v>0</v>
      </c>
      <c r="L35" s="91">
        <f>'Plain View'!L35</f>
        <v>45271</v>
      </c>
      <c r="M35" s="90" t="str">
        <f>'Plain View'!M35</f>
        <v>Daily</v>
      </c>
      <c r="O35" s="47"/>
      <c r="P35" s="106" t="str">
        <f>'Plain View'!P35</f>
        <v>https://www.morningstar.com/stocks/xnys/ccl/trailing-returns</v>
      </c>
      <c r="Q35" s="89"/>
    </row>
    <row r="36" spans="1:17">
      <c r="B36" s="47" t="str">
        <f>'Plain View'!B36</f>
        <v>Crowdstrike Holdings Inc</v>
      </c>
      <c r="C36" s="47" t="str">
        <f>'Plain View'!C36</f>
        <v>CRWD</v>
      </c>
      <c r="D36" s="109">
        <f>'Plain View'!D36</f>
        <v>4.0399999999999998E-2</v>
      </c>
      <c r="E36" s="109">
        <f>'Plain View'!E36</f>
        <v>0.2581</v>
      </c>
      <c r="F36" s="109">
        <f>'Plain View'!F36</f>
        <v>0.4335</v>
      </c>
      <c r="G36" s="109">
        <f>'Plain View'!G36</f>
        <v>1.3455999999999999</v>
      </c>
      <c r="H36" s="109">
        <f>'Plain View'!H36</f>
        <v>1.1460999999999999</v>
      </c>
      <c r="I36" s="109">
        <f>'Plain View'!I36</f>
        <v>0.1197</v>
      </c>
      <c r="J36" s="109" t="str">
        <f>'Plain View'!J36</f>
        <v>—</v>
      </c>
      <c r="K36" s="109">
        <f>'Plain View'!K36</f>
        <v>0</v>
      </c>
      <c r="L36" s="91">
        <f>'Plain View'!L36</f>
        <v>45271</v>
      </c>
      <c r="M36" s="90" t="str">
        <f>'Plain View'!M36</f>
        <v>Daily</v>
      </c>
      <c r="O36" s="47"/>
      <c r="P36" s="106" t="str">
        <f>'Plain View'!P36</f>
        <v>https://www.morningstar.com/stocks/xnas/crwd/trailing-returns</v>
      </c>
      <c r="Q36" s="89"/>
    </row>
    <row r="37" spans="1:17">
      <c r="B37" s="47" t="str">
        <f>'Plain View'!B37</f>
        <v>Delta Air Lines Inc</v>
      </c>
      <c r="C37" s="47" t="str">
        <f>'Plain View'!C37</f>
        <v>DAL</v>
      </c>
      <c r="D37" s="109">
        <f>'Plain View'!D37</f>
        <v>6.1600000000000002E-2</v>
      </c>
      <c r="E37" s="109">
        <f>'Plain View'!E37</f>
        <v>0.18940000000000001</v>
      </c>
      <c r="F37" s="109">
        <f>'Plain View'!F37</f>
        <v>-5.5999999999999999E-3</v>
      </c>
      <c r="G37" s="109">
        <f>'Plain View'!G37</f>
        <v>0.2389</v>
      </c>
      <c r="H37" s="109">
        <f>'Plain View'!H37</f>
        <v>0.2044</v>
      </c>
      <c r="I37" s="109">
        <f>'Plain View'!I37</f>
        <v>-8.3000000000000001E-3</v>
      </c>
      <c r="J37" s="109">
        <f>'Plain View'!J37</f>
        <v>-5.28E-2</v>
      </c>
      <c r="K37" s="109">
        <f>'Plain View'!K37</f>
        <v>5.0000000000000001E-3</v>
      </c>
      <c r="L37" s="91">
        <f>'Plain View'!L37</f>
        <v>45271</v>
      </c>
      <c r="M37" s="90" t="str">
        <f>'Plain View'!M37</f>
        <v>Daily</v>
      </c>
      <c r="O37" s="47"/>
      <c r="P37" s="106" t="str">
        <f>'Plain View'!P37</f>
        <v>https://www.morningstar.com/stocks/xnys/dal/trailing-returns</v>
      </c>
      <c r="Q37" s="89"/>
    </row>
    <row r="38" spans="1:17">
      <c r="B38" s="47" t="str">
        <f>'Plain View'!B38</f>
        <v>FS KKR Capital Corp</v>
      </c>
      <c r="C38" s="47" t="str">
        <f>'Plain View'!C38</f>
        <v>FSK</v>
      </c>
      <c r="D38" s="109">
        <f>'Plain View'!D38</f>
        <v>1.6E-2</v>
      </c>
      <c r="E38" s="109">
        <f>'Plain View'!E38</f>
        <v>2.7699999999999999E-2</v>
      </c>
      <c r="F38" s="109">
        <f>'Plain View'!F38</f>
        <v>2.1299999999999999E-2</v>
      </c>
      <c r="G38" s="109">
        <f>'Plain View'!G38</f>
        <v>0.28970000000000001</v>
      </c>
      <c r="H38" s="109">
        <f>'Plain View'!H38</f>
        <v>0.23930000000000001</v>
      </c>
      <c r="I38" s="109">
        <f>'Plain View'!I38</f>
        <v>0.14399999999999999</v>
      </c>
      <c r="J38" s="109">
        <f>'Plain View'!J38</f>
        <v>7.5300000000000006E-2</v>
      </c>
      <c r="K38" s="109">
        <f>'Plain View'!K38</f>
        <v>0.13389999999999999</v>
      </c>
      <c r="L38" s="91">
        <f>'Plain View'!L38</f>
        <v>45271</v>
      </c>
      <c r="M38" s="90" t="str">
        <f>'Plain View'!M38</f>
        <v>Daily</v>
      </c>
      <c r="N38" s="109"/>
      <c r="O38" s="47">
        <f>'Plain View'!O38</f>
        <v>0</v>
      </c>
      <c r="P38" s="106" t="str">
        <f>'Plain View'!P38</f>
        <v>https://www.morningstar.com/stocks/xnys/fsk/trailing-returns</v>
      </c>
      <c r="Q38" s="89" t="e">
        <f>'Plain View'!#REF!</f>
        <v>#REF!</v>
      </c>
    </row>
    <row r="39" spans="1:17">
      <c r="B39" s="47" t="str">
        <f>'Plain View'!B39</f>
        <v>FT Cboe Vest S&amp;P 500 Dividend Aristocrats Target Income ETF</v>
      </c>
      <c r="C39" s="47" t="str">
        <f>'Plain View'!C39</f>
        <v>KNG</v>
      </c>
      <c r="D39" s="109">
        <f>'Plain View'!D39</f>
        <v>2.8500000000000001E-2</v>
      </c>
      <c r="E39" s="109">
        <f>'Plain View'!E39</f>
        <v>7.5200000000000003E-2</v>
      </c>
      <c r="F39" s="109">
        <f>'Plain View'!F39</f>
        <v>2.0500000000000001E-2</v>
      </c>
      <c r="G39" s="109">
        <f>'Plain View'!G39</f>
        <v>6.3600000000000004E-2</v>
      </c>
      <c r="H39" s="109">
        <f>'Plain View'!H39</f>
        <v>2.4199999999999999E-2</v>
      </c>
      <c r="I39" s="109">
        <f>'Plain View'!I39</f>
        <v>7.4999999999999997E-2</v>
      </c>
      <c r="J39" s="109">
        <f>'Plain View'!J39</f>
        <v>9.7100000000000006E-2</v>
      </c>
      <c r="K39" s="109">
        <f>'Plain View'!K39</f>
        <v>6.4299999999999996E-2</v>
      </c>
      <c r="L39" s="91">
        <f>'Plain View'!L39</f>
        <v>45273</v>
      </c>
      <c r="M39" s="90" t="str">
        <f>'Plain View'!M39</f>
        <v>Daily</v>
      </c>
      <c r="O39" s="47">
        <f>'Plain View'!O39</f>
        <v>0</v>
      </c>
      <c r="P39" s="106" t="str">
        <f>'Plain View'!P39</f>
        <v>https://www.morningstar.com/etfs/bats/kng/performance</v>
      </c>
      <c r="Q39" s="89">
        <f>'Plain View'!Q39</f>
        <v>0</v>
      </c>
    </row>
    <row r="40" spans="1:17">
      <c r="B40" s="47" t="str">
        <f>'Plain View'!B40</f>
        <v>First Trust Rising Dividend Achiever ETF</v>
      </c>
      <c r="C40" s="47" t="str">
        <f>'Plain View'!C40</f>
        <v>RDVY</v>
      </c>
      <c r="D40" s="109">
        <f>'Plain View'!D40</f>
        <v>6.1999999999999998E-3</v>
      </c>
      <c r="E40" s="109">
        <f>'Plain View'!E40</f>
        <v>7.85E-2</v>
      </c>
      <c r="F40" s="109">
        <f>'Plain View'!F40</f>
        <v>4.7300000000000002E-2</v>
      </c>
      <c r="G40" s="109">
        <f>'Plain View'!G40</f>
        <v>0.14180000000000001</v>
      </c>
      <c r="H40" s="109">
        <f>'Plain View'!H40</f>
        <v>0.12239999999999999</v>
      </c>
      <c r="I40" s="109">
        <f>'Plain View'!I40</f>
        <v>0.1026</v>
      </c>
      <c r="J40" s="109">
        <f>'Plain View'!J40</f>
        <v>0.14330000000000001</v>
      </c>
      <c r="K40" s="109">
        <f>'Plain View'!K40</f>
        <v>2.3099999999999999E-2</v>
      </c>
      <c r="L40" s="91">
        <f>'Plain View'!L40</f>
        <v>45271</v>
      </c>
      <c r="M40" s="90" t="str">
        <f>'Plain View'!M40</f>
        <v>Daily</v>
      </c>
      <c r="O40" s="47"/>
      <c r="P40" s="106" t="str">
        <f>'Plain View'!P40</f>
        <v>https://www.morningstar.com/etfs/xnas/rdvy/performance</v>
      </c>
      <c r="Q40" s="89"/>
    </row>
    <row r="41" spans="1:17">
      <c r="B41" s="47" t="str">
        <f>'Plain View'!B41</f>
        <v>Golub Capital</v>
      </c>
      <c r="C41" s="47" t="str">
        <f>'Plain View'!C41</f>
        <v>GBDC</v>
      </c>
      <c r="D41" s="109">
        <f>'Plain View'!D41</f>
        <v>6.0000000000000001E-3</v>
      </c>
      <c r="E41" s="109">
        <f>'Plain View'!E41</f>
        <v>2.5100000000000001E-2</v>
      </c>
      <c r="F41" s="109">
        <f>'Plain View'!F41</f>
        <v>5.3699999999999998E-2</v>
      </c>
      <c r="G41" s="109">
        <f>'Plain View'!G41</f>
        <v>0.23019999999999999</v>
      </c>
      <c r="H41" s="109">
        <f>'Plain View'!H41</f>
        <v>0.22839999999999999</v>
      </c>
      <c r="I41" s="109">
        <f>'Plain View'!I41</f>
        <v>0.10580000000000001</v>
      </c>
      <c r="J41" s="109">
        <f>'Plain View'!J41</f>
        <v>4.4400000000000002E-2</v>
      </c>
      <c r="K41" s="109">
        <f>'Plain View'!K41</f>
        <v>9.5699999999999993E-2</v>
      </c>
      <c r="L41" s="91">
        <f>'Plain View'!L41</f>
        <v>45271</v>
      </c>
      <c r="M41" s="90" t="str">
        <f>'Plain View'!M41</f>
        <v>Daily</v>
      </c>
      <c r="O41" s="47"/>
      <c r="P41" s="106" t="str">
        <f>'Plain View'!P41</f>
        <v>https://www.morningstar.com/stocks/xnas/gbdc/trailing-returns</v>
      </c>
      <c r="Q41" s="89"/>
    </row>
    <row r="42" spans="1:17">
      <c r="B42" s="47" t="str">
        <f>'Plain View'!B42</f>
        <v>Main Street Capital Corp</v>
      </c>
      <c r="C42" s="47" t="str">
        <f>'Plain View'!C42</f>
        <v>MAIN</v>
      </c>
      <c r="D42" s="109">
        <f>'Plain View'!D42</f>
        <v>1.1599999999999999E-2</v>
      </c>
      <c r="E42" s="109">
        <f>'Plain View'!E42</f>
        <v>5.0200000000000002E-2</v>
      </c>
      <c r="F42" s="109">
        <f>'Plain View'!F42</f>
        <v>5.9299999999999999E-2</v>
      </c>
      <c r="G42" s="109">
        <f>'Plain View'!G42</f>
        <v>0.23169999999999999</v>
      </c>
      <c r="H42" s="109">
        <f>'Plain View'!H42</f>
        <v>0.24210000000000001</v>
      </c>
      <c r="I42" s="109">
        <f>'Plain View'!I42</f>
        <v>0.1762</v>
      </c>
      <c r="J42" s="109">
        <f>'Plain View'!J42</f>
        <v>8.6599999999999996E-2</v>
      </c>
      <c r="K42" s="109">
        <f>'Plain View'!K42</f>
        <v>6.4000000000000001E-2</v>
      </c>
      <c r="L42" s="91">
        <f>'Plain View'!L42</f>
        <v>45271</v>
      </c>
      <c r="M42" s="90" t="str">
        <f>'Plain View'!M42</f>
        <v>Daily</v>
      </c>
      <c r="O42" s="47"/>
      <c r="P42" s="106" t="str">
        <f>'Plain View'!P42</f>
        <v>https://www.morningstar.com/stocks/xnys/main/trailing-returns</v>
      </c>
      <c r="Q42" s="89"/>
    </row>
    <row r="43" spans="1:17">
      <c r="B43" s="47" t="str">
        <f>'Plain View'!B43</f>
        <v>MidCap Financial Investment Corp</v>
      </c>
      <c r="C43" s="47" t="str">
        <f>'Plain View'!C43</f>
        <v>MFIC</v>
      </c>
      <c r="D43" s="109">
        <f>'Plain View'!D43</f>
        <v>8.8000000000000005E-3</v>
      </c>
      <c r="E43" s="109">
        <f>'Plain View'!E43</f>
        <v>4.48E-2</v>
      </c>
      <c r="F43" s="109">
        <f>'Plain View'!F43</f>
        <v>4.0099999999999997E-2</v>
      </c>
      <c r="G43" s="109">
        <f>'Plain View'!G43</f>
        <v>0.30609999999999998</v>
      </c>
      <c r="H43" s="109">
        <f>'Plain View'!H43</f>
        <v>0.26119999999999999</v>
      </c>
      <c r="I43" s="109">
        <f>'Plain View'!I43</f>
        <v>0.1711</v>
      </c>
      <c r="J43" s="109">
        <f>'Plain View'!J43</f>
        <v>8.0399999999999999E-2</v>
      </c>
      <c r="K43" s="109">
        <f>'Plain View'!K43</f>
        <v>0.1137</v>
      </c>
      <c r="L43" s="91">
        <f>'Plain View'!L43</f>
        <v>45271</v>
      </c>
      <c r="M43" s="90" t="str">
        <f>'Plain View'!M43</f>
        <v>Daily</v>
      </c>
      <c r="O43" s="47"/>
      <c r="P43" s="106" t="str">
        <f>'Plain View'!P43</f>
        <v>https://www.morningstar.com/stocks/xnas/mfic/trailing-returns</v>
      </c>
      <c r="Q43" s="89"/>
    </row>
    <row r="44" spans="1:17">
      <c r="B44" s="47" t="str">
        <f>'Plain View'!B44</f>
        <v>Blue Owl Capital Corp (formerly ORCC)</v>
      </c>
      <c r="C44" s="47" t="str">
        <f>'Plain View'!C44</f>
        <v>OBDC</v>
      </c>
      <c r="D44" s="109">
        <f>'Plain View'!D44</f>
        <v>7.4999999999999997E-3</v>
      </c>
      <c r="E44" s="109">
        <f>'Plain View'!E44</f>
        <v>4.2500000000000003E-2</v>
      </c>
      <c r="F44" s="109">
        <f>'Plain View'!F44</f>
        <v>0.1244</v>
      </c>
      <c r="G44" s="109">
        <f>'Plain View'!G44</f>
        <v>0.39479999999999998</v>
      </c>
      <c r="H44" s="109">
        <f>'Plain View'!H44</f>
        <v>0.32790000000000002</v>
      </c>
      <c r="I44" s="109">
        <f>'Plain View'!I44</f>
        <v>0.1416</v>
      </c>
      <c r="J44" s="109" t="str">
        <f>'Plain View'!J44</f>
        <v>—</v>
      </c>
      <c r="K44" s="109">
        <f>'Plain View'!K44</f>
        <v>7.1999999999999995E-2</v>
      </c>
      <c r="L44" s="91">
        <f>'Plain View'!L44</f>
        <v>45271</v>
      </c>
      <c r="M44" s="90" t="str">
        <f>'Plain View'!M44</f>
        <v>Daily</v>
      </c>
      <c r="O44" s="47"/>
      <c r="P44" s="106" t="str">
        <f>'Plain View'!P44</f>
        <v>https://www.morningstar.com/stocks/xnys/obdc/trailing-returns</v>
      </c>
      <c r="Q44" s="89"/>
    </row>
    <row r="45" spans="1:17">
      <c r="B45" s="47" t="str">
        <f>'Plain View'!B45</f>
        <v>Sixth Street Specialty Lending</v>
      </c>
      <c r="C45" s="47" t="str">
        <f>'Plain View'!C45</f>
        <v>TSLX</v>
      </c>
      <c r="D45" s="109">
        <f>'Plain View'!D45</f>
        <v>6.1999999999999998E-3</v>
      </c>
      <c r="E45" s="109">
        <f>'Plain View'!E45</f>
        <v>2.3199999999999998E-2</v>
      </c>
      <c r="F45" s="109">
        <f>'Plain View'!F45</f>
        <v>5.5100000000000003E-2</v>
      </c>
      <c r="G45" s="109">
        <f>'Plain View'!G45</f>
        <v>0.27700000000000002</v>
      </c>
      <c r="H45" s="109">
        <f>'Plain View'!H45</f>
        <v>0.26600000000000001</v>
      </c>
      <c r="I45" s="109">
        <f>'Plain View'!I45</f>
        <v>0.1089</v>
      </c>
      <c r="J45" s="109">
        <f>'Plain View'!J45</f>
        <v>0.1065</v>
      </c>
      <c r="K45" s="109">
        <f>'Plain View'!K45</f>
        <v>4.9799999999999997E-2</v>
      </c>
      <c r="L45" s="91">
        <f>'Plain View'!L45</f>
        <v>45271</v>
      </c>
      <c r="M45" s="90" t="str">
        <f>'Plain View'!M45</f>
        <v>Daily</v>
      </c>
      <c r="O45" s="47"/>
      <c r="P45" s="106" t="str">
        <f>'Plain View'!P45</f>
        <v>https://www.morningstar.com/stocks/xnys/tslx/trailing-returns</v>
      </c>
      <c r="Q45" s="89">
        <f>'Plain View'!Q45</f>
        <v>0</v>
      </c>
    </row>
    <row r="46" spans="1:17" s="103" customFormat="1">
      <c r="A46" s="105">
        <f>'Plain View'!A46</f>
        <v>0</v>
      </c>
      <c r="B46" s="105" t="str">
        <f>'Plain View'!B46</f>
        <v xml:space="preserve">Taiwan Semiconductor </v>
      </c>
      <c r="C46" s="105" t="str">
        <f>'Plain View'!C46</f>
        <v>TSM</v>
      </c>
      <c r="D46" s="139">
        <f>'Plain View'!D46</f>
        <v>4.0599999999999997E-2</v>
      </c>
      <c r="E46" s="139">
        <f>'Plain View'!E46</f>
        <v>3.5999999999999997E-2</v>
      </c>
      <c r="F46" s="139">
        <f>'Plain View'!F46</f>
        <v>0.13189999999999999</v>
      </c>
      <c r="G46" s="139">
        <f>'Plain View'!G46</f>
        <v>0.37340000000000001</v>
      </c>
      <c r="H46" s="139">
        <f>'Plain View'!H46</f>
        <v>0.27339999999999998</v>
      </c>
      <c r="I46" s="139">
        <f>'Plain View'!I46</f>
        <v>5.4999999999999997E-3</v>
      </c>
      <c r="J46" s="139">
        <f>'Plain View'!J46</f>
        <v>0.24340000000000001</v>
      </c>
      <c r="K46" s="139">
        <f>'Plain View'!K46</f>
        <v>1.78E-2</v>
      </c>
      <c r="L46" s="143">
        <f>'Plain View'!L46</f>
        <v>45271</v>
      </c>
      <c r="M46" s="142" t="str">
        <f>'Plain View'!M46</f>
        <v>Daily</v>
      </c>
      <c r="N46" s="103">
        <f>'Plain View'!N46</f>
        <v>0</v>
      </c>
      <c r="O46" s="103">
        <f>'Plain View'!O46</f>
        <v>0</v>
      </c>
      <c r="P46" s="141" t="str">
        <f>'Plain View'!P46</f>
        <v>https://www.morningstar.com/stocks/xnys/tsm/trailing-returns</v>
      </c>
      <c r="Q46" s="128">
        <f>'Plain View'!Q46</f>
        <v>0</v>
      </c>
    </row>
    <row r="47" spans="1:17">
      <c r="A47" s="48">
        <f>'Plain View'!A47</f>
        <v>0</v>
      </c>
      <c r="B47" s="47" t="str">
        <f>'Plain View'!B47</f>
        <v>Zscaler Inc</v>
      </c>
      <c r="C47" s="47" t="str">
        <f>'Plain View'!C47</f>
        <v>ZS</v>
      </c>
      <c r="D47" s="109">
        <f>'Plain View'!D47</f>
        <v>3.6400000000000002E-2</v>
      </c>
      <c r="E47" s="109">
        <f>'Plain View'!E47</f>
        <v>0.17380000000000001</v>
      </c>
      <c r="F47" s="109">
        <f>'Plain View'!F47</f>
        <v>0.24490000000000001</v>
      </c>
      <c r="G47" s="109">
        <f>'Plain View'!G47</f>
        <v>0.83620000000000005</v>
      </c>
      <c r="H47" s="109">
        <f>'Plain View'!H47</f>
        <v>0.753</v>
      </c>
      <c r="I47" s="109">
        <f>'Plain View'!I47</f>
        <v>4.1399999999999999E-2</v>
      </c>
      <c r="J47" s="109">
        <f>'Plain View'!J47</f>
        <v>0.38890000000000002</v>
      </c>
      <c r="K47" s="109" t="str">
        <f>'Plain View'!K47</f>
        <v>-</v>
      </c>
      <c r="L47" s="91">
        <f>'Plain View'!L47</f>
        <v>45271</v>
      </c>
      <c r="M47" s="90" t="str">
        <f>'Plain View'!M47</f>
        <v>Daily</v>
      </c>
      <c r="N47" s="47">
        <f>'Plain View'!N47</f>
        <v>0</v>
      </c>
      <c r="O47" s="47">
        <f>'Plain View'!O47</f>
        <v>0</v>
      </c>
      <c r="P47" s="121" t="str">
        <f>'Plain View'!P47</f>
        <v>https://www.morningstar.com/stocks/xnas/zs/trailing-returns</v>
      </c>
      <c r="Q47" s="89">
        <f>'Plain View'!Q47</f>
        <v>0</v>
      </c>
    </row>
    <row r="48" spans="1:17">
      <c r="A48" s="93">
        <f>'Plain View'!A48</f>
        <v>0</v>
      </c>
      <c r="B48" s="97" t="str">
        <f>'Plain View'!B48</f>
        <v>Average</v>
      </c>
      <c r="C48" s="97">
        <f>'Plain View'!C48</f>
        <v>0</v>
      </c>
      <c r="D48" s="102">
        <f>'Plain View'!D48</f>
        <v>2.5370588235294117E-2</v>
      </c>
      <c r="E48" s="102">
        <f>'Plain View'!E48</f>
        <v>0.11498235294117647</v>
      </c>
      <c r="F48" s="102">
        <f>'Plain View'!F48</f>
        <v>0.10809999999999999</v>
      </c>
      <c r="G48" s="102">
        <f>'Plain View'!G48</f>
        <v>0.47030588235294113</v>
      </c>
      <c r="H48" s="102">
        <f>'Plain View'!H48</f>
        <v>0.40265294117647044</v>
      </c>
      <c r="I48" s="102">
        <f>'Plain View'!I48</f>
        <v>6.6964705882352954E-2</v>
      </c>
      <c r="J48" s="102">
        <f>'Plain View'!J48</f>
        <v>0.10345714285714287</v>
      </c>
      <c r="K48" s="102">
        <f>'Plain View'!K48</f>
        <v>4.5937499999999992E-2</v>
      </c>
      <c r="L48" s="102">
        <f>'Plain View'!L48</f>
        <v>0</v>
      </c>
      <c r="M48" s="102">
        <f>'Plain View'!M48</f>
        <v>0</v>
      </c>
      <c r="N48" s="93">
        <f>'Plain View'!N48</f>
        <v>0</v>
      </c>
      <c r="O48" s="97">
        <f>'Plain View'!O48</f>
        <v>0</v>
      </c>
      <c r="P48" s="107">
        <f>'Plain View'!P48</f>
        <v>0</v>
      </c>
      <c r="Q48" s="93">
        <f>'Plain View'!Q48</f>
        <v>0</v>
      </c>
    </row>
    <row r="49" spans="1:17">
      <c r="A49" s="47"/>
      <c r="B49" s="47">
        <f>'Plain View'!B49</f>
        <v>0</v>
      </c>
      <c r="C49" s="47">
        <f>'Plain View'!C49</f>
        <v>0</v>
      </c>
      <c r="D49" s="109">
        <f>'Plain View'!D49</f>
        <v>0</v>
      </c>
      <c r="E49" s="109">
        <f>'Plain View'!E49</f>
        <v>0</v>
      </c>
      <c r="F49" s="109">
        <f>'Plain View'!F49</f>
        <v>0</v>
      </c>
      <c r="G49" s="109">
        <f>'Plain View'!G49</f>
        <v>0</v>
      </c>
      <c r="H49" s="109">
        <f>'Plain View'!H49</f>
        <v>0</v>
      </c>
      <c r="I49" s="109">
        <f>'Plain View'!I49</f>
        <v>0</v>
      </c>
      <c r="J49" s="109">
        <f>'Plain View'!J49</f>
        <v>0</v>
      </c>
      <c r="K49" s="112">
        <f>'Plain View'!K49</f>
        <v>0</v>
      </c>
      <c r="L49" s="91">
        <f>'Plain View'!L49</f>
        <v>0</v>
      </c>
      <c r="M49" s="90">
        <f>'Plain View'!M49</f>
        <v>0</v>
      </c>
      <c r="O49" s="47"/>
      <c r="P49" s="106">
        <f>'Plain View'!P49</f>
        <v>0</v>
      </c>
      <c r="Q49" s="89"/>
    </row>
    <row r="50" spans="1:17">
      <c r="A50" s="48">
        <f>'Plain View'!A50</f>
        <v>0</v>
      </c>
      <c r="B50" s="47" t="str">
        <f>'Plain View'!B50</f>
        <v>Name</v>
      </c>
      <c r="C50" s="47" t="str">
        <f>'Plain View'!C50</f>
        <v>Symbol</v>
      </c>
      <c r="D50" s="109" t="str">
        <f>'Plain View'!D50</f>
        <v>1-Week</v>
      </c>
      <c r="E50" s="109" t="str">
        <f>'Plain View'!E50</f>
        <v>1-Month</v>
      </c>
      <c r="F50" s="109" t="str">
        <f>'Plain View'!F50</f>
        <v>3-Month</v>
      </c>
      <c r="G50" s="109" t="str">
        <f>'Plain View'!G50</f>
        <v>YTD</v>
      </c>
      <c r="H50" s="109" t="str">
        <f>'Plain View'!H50</f>
        <v>1-Year</v>
      </c>
      <c r="I50" s="109" t="str">
        <f>'Plain View'!I50</f>
        <v>3-Year</v>
      </c>
      <c r="J50" s="109" t="str">
        <f>'Plain View'!J50</f>
        <v>5-Year</v>
      </c>
      <c r="K50" s="112" t="str">
        <f>'Plain View'!K50</f>
        <v>Yield</v>
      </c>
      <c r="L50" s="91" t="str">
        <f>'Plain View'!L50</f>
        <v>Value as of</v>
      </c>
      <c r="M50" s="90" t="str">
        <f>'Plain View'!M50</f>
        <v>Frequency</v>
      </c>
      <c r="N50" s="47">
        <f>'Plain View'!N50</f>
        <v>0</v>
      </c>
      <c r="O50" s="47" t="str">
        <f>'Plain View'!O50</f>
        <v>Notes</v>
      </c>
      <c r="P50" s="106">
        <f>'Plain View'!P50</f>
        <v>0</v>
      </c>
      <c r="Q50" s="47">
        <f>'Plain View'!Q50</f>
        <v>0</v>
      </c>
    </row>
    <row r="51" spans="1:17">
      <c r="A51" s="48">
        <f>'Plain View'!A51</f>
        <v>0</v>
      </c>
      <c r="B51" s="47" t="str">
        <f>'Plain View'!B51</f>
        <v>Counterpoint Tactical Income I</v>
      </c>
      <c r="C51" s="47" t="str">
        <f>'Plain View'!C51</f>
        <v>CPITX</v>
      </c>
      <c r="D51" s="109">
        <f>'Plain View'!D51</f>
        <v>6.3E-3</v>
      </c>
      <c r="E51" s="109">
        <f>'Plain View'!E51</f>
        <v>2.3699999999999999E-2</v>
      </c>
      <c r="F51" s="109">
        <f>'Plain View'!F51</f>
        <v>2.0500000000000001E-2</v>
      </c>
      <c r="G51" s="109">
        <f>'Plain View'!G51</f>
        <v>8.2699999999999996E-2</v>
      </c>
      <c r="H51" s="109">
        <f>'Plain View'!H51</f>
        <v>6.9199999999999998E-2</v>
      </c>
      <c r="I51" s="109">
        <f>'Plain View'!I51</f>
        <v>0.03</v>
      </c>
      <c r="J51" s="109">
        <f>'Plain View'!J51</f>
        <v>5.33E-2</v>
      </c>
      <c r="K51" s="109">
        <f>'Plain View'!K51</f>
        <v>5.9400000000000001E-2</v>
      </c>
      <c r="L51" s="91">
        <f>'Plain View'!L51</f>
        <v>45273</v>
      </c>
      <c r="M51" s="90" t="str">
        <f>'Plain View'!M51</f>
        <v>Daily</v>
      </c>
      <c r="N51" s="47">
        <f>'Plain View'!N51</f>
        <v>0</v>
      </c>
      <c r="O51" s="47">
        <f>'Plain View'!O51</f>
        <v>0</v>
      </c>
      <c r="P51" s="106" t="str">
        <f>'Plain View'!P51</f>
        <v>https://www.morningstar.com/funds/xnas/cpitx/performance</v>
      </c>
      <c r="Q51" s="98">
        <f>'Plain View'!Q51</f>
        <v>0</v>
      </c>
    </row>
    <row r="52" spans="1:17">
      <c r="A52" s="48">
        <f>'Plain View'!A52</f>
        <v>0</v>
      </c>
      <c r="B52" s="47" t="str">
        <f>'Plain View'!B52</f>
        <v>Invesco Oppenheimer Global Opportunities Fund Y</v>
      </c>
      <c r="C52" s="47" t="str">
        <f>'Plain View'!C52</f>
        <v>OGIYX</v>
      </c>
      <c r="D52" s="109">
        <f>'Plain View'!D52</f>
        <v>2.92E-2</v>
      </c>
      <c r="E52" s="109">
        <f>'Plain View'!E52</f>
        <v>9.1899999999999996E-2</v>
      </c>
      <c r="F52" s="109">
        <f>'Plain View'!F52</f>
        <v>2.53E-2</v>
      </c>
      <c r="G52" s="109">
        <f>'Plain View'!G52</f>
        <v>9.0399999999999994E-2</v>
      </c>
      <c r="H52" s="109">
        <f>'Plain View'!H52</f>
        <v>4.9000000000000002E-2</v>
      </c>
      <c r="I52" s="109">
        <f>'Plain View'!I52</f>
        <v>-0.1183</v>
      </c>
      <c r="J52" s="109">
        <f>'Plain View'!J52</f>
        <v>1.7299999999999999E-2</v>
      </c>
      <c r="K52" s="109">
        <f>'Plain View'!K52</f>
        <v>0</v>
      </c>
      <c r="L52" s="91">
        <f>'Plain View'!L52</f>
        <v>45271</v>
      </c>
      <c r="M52" s="90" t="str">
        <f>'Plain View'!M52</f>
        <v>Daily</v>
      </c>
      <c r="N52" s="47">
        <f>'Plain View'!N52</f>
        <v>0</v>
      </c>
      <c r="O52" s="47">
        <f>'Plain View'!O52</f>
        <v>0</v>
      </c>
      <c r="P52" s="106" t="str">
        <f>'Plain View'!P52</f>
        <v>https://www.morningstar.com/funds/xnas/ogiyx/performance</v>
      </c>
      <c r="Q52" s="98">
        <f>'Plain View'!Q52</f>
        <v>0</v>
      </c>
    </row>
    <row r="53" spans="1:17">
      <c r="A53" s="48">
        <f>'Plain View'!A53</f>
        <v>0</v>
      </c>
      <c r="B53" s="47" t="str">
        <f>'Plain View'!B53</f>
        <v>Invesco Oppenheimer MLP Steel Path Alpha Y</v>
      </c>
      <c r="C53" s="47" t="str">
        <f>'Plain View'!C53</f>
        <v>MLPOX</v>
      </c>
      <c r="D53" s="109">
        <f>'Plain View'!D53</f>
        <v>-4.4400000000000002E-2</v>
      </c>
      <c r="E53" s="109">
        <f>'Plain View'!E53</f>
        <v>9.4000000000000004E-3</v>
      </c>
      <c r="F53" s="109">
        <f>'Plain View'!F53</f>
        <v>3.5099999999999999E-2</v>
      </c>
      <c r="G53" s="109">
        <f>'Plain View'!G53</f>
        <v>0.17799999999999999</v>
      </c>
      <c r="H53" s="109">
        <f>'Plain View'!H53</f>
        <v>0.22070000000000001</v>
      </c>
      <c r="I53" s="109">
        <f>'Plain View'!I53</f>
        <v>0.25290000000000001</v>
      </c>
      <c r="J53" s="109">
        <f>'Plain View'!J53</f>
        <v>8.6800000000000002E-2</v>
      </c>
      <c r="K53" s="109">
        <f>'Plain View'!K53</f>
        <v>5.4199999999999998E-2</v>
      </c>
      <c r="L53" s="91">
        <f>'Plain View'!L53</f>
        <v>45271</v>
      </c>
      <c r="M53" s="90" t="str">
        <f>'Plain View'!M53</f>
        <v>Daily</v>
      </c>
      <c r="N53" s="47">
        <f>'Plain View'!N53</f>
        <v>0</v>
      </c>
      <c r="O53" s="47">
        <f>'Plain View'!O53</f>
        <v>0</v>
      </c>
      <c r="P53" s="106" t="str">
        <f>'Plain View'!P53</f>
        <v>https://www.morningstar.com/funds/xnas/mlpox/performance</v>
      </c>
      <c r="Q53" s="98" t="str">
        <f>'Plain View'!Q53</f>
        <v>https://seekingalpha.com/symbol/MLPOX/dividends/scorecard?s=mlpox</v>
      </c>
    </row>
    <row r="54" spans="1:17">
      <c r="A54" s="48">
        <f>'Plain View'!A54</f>
        <v>0</v>
      </c>
      <c r="B54" s="47" t="str">
        <f>'Plain View'!B54</f>
        <v>Invesco Oppenheimer MLP Steel Path Income Y</v>
      </c>
      <c r="C54" s="47" t="str">
        <f>'Plain View'!C54</f>
        <v>MLPZX</v>
      </c>
      <c r="D54" s="109">
        <f>'Plain View'!D54</f>
        <v>-3.5799999999999998E-2</v>
      </c>
      <c r="E54" s="109">
        <f>'Plain View'!E54</f>
        <v>8.0000000000000002E-3</v>
      </c>
      <c r="F54" s="109">
        <f>'Plain View'!F54</f>
        <v>5.6099999999999997E-2</v>
      </c>
      <c r="G54" s="109">
        <f>'Plain View'!G54</f>
        <v>0.183</v>
      </c>
      <c r="H54" s="112">
        <f>'Plain View'!H54</f>
        <v>0.21510000000000001</v>
      </c>
      <c r="I54" s="112">
        <f>'Plain View'!I54</f>
        <v>0.25929999999999997</v>
      </c>
      <c r="J54" s="112">
        <f>'Plain View'!J54</f>
        <v>0.12709999999999999</v>
      </c>
      <c r="K54" s="112">
        <f>'Plain View'!K54</f>
        <v>7.0900000000000005E-2</v>
      </c>
      <c r="L54" s="91">
        <f>'Plain View'!L54</f>
        <v>45271</v>
      </c>
      <c r="M54" s="90" t="str">
        <f>'Plain View'!M54</f>
        <v>Daily</v>
      </c>
      <c r="N54" s="47">
        <f>'Plain View'!N54</f>
        <v>0</v>
      </c>
      <c r="O54" s="47">
        <f>'Plain View'!O54</f>
        <v>0</v>
      </c>
      <c r="P54" s="106" t="str">
        <f>'Plain View'!P54</f>
        <v>https://www.morningstar.com/funds/xnas/mlpzx/performance</v>
      </c>
      <c r="Q54" s="98">
        <f>'Plain View'!R53</f>
        <v>0</v>
      </c>
    </row>
    <row r="55" spans="1:17">
      <c r="A55" s="48">
        <f>'Plain View'!A55</f>
        <v>0</v>
      </c>
      <c r="B55" s="47" t="str">
        <f>'Plain View'!B55</f>
        <v>Easterly Global Real Estate Fund I</v>
      </c>
      <c r="C55" s="47" t="str">
        <f>'Plain View'!C55</f>
        <v>JARIX</v>
      </c>
      <c r="D55" s="109">
        <f>'Plain View'!D55</f>
        <v>4.4000000000000003E-3</v>
      </c>
      <c r="E55" s="109">
        <f>'Plain View'!E55</f>
        <v>8.5699999999999998E-2</v>
      </c>
      <c r="F55" s="109">
        <f>'Plain View'!F55</f>
        <v>2.1700000000000001E-2</v>
      </c>
      <c r="G55" s="109">
        <f>'Plain View'!G55</f>
        <v>1.9599999999999999E-2</v>
      </c>
      <c r="H55" s="112">
        <f>'Plain View'!H55</f>
        <v>1E-4</v>
      </c>
      <c r="I55" s="112">
        <f>'Plain View'!I55</f>
        <v>-1.32E-2</v>
      </c>
      <c r="J55" s="112">
        <f>'Plain View'!J55</f>
        <v>3.44E-2</v>
      </c>
      <c r="K55" s="112">
        <f>'Plain View'!K55</f>
        <v>1.6799999999999999E-2</v>
      </c>
      <c r="L55" s="91">
        <f>'Plain View'!L55</f>
        <v>45271</v>
      </c>
      <c r="M55" s="90" t="str">
        <f>'Plain View'!M55</f>
        <v>Daily</v>
      </c>
      <c r="N55" s="47">
        <f>'Plain View'!N55</f>
        <v>0</v>
      </c>
      <c r="O55" s="47">
        <f>'Plain View'!O55</f>
        <v>0</v>
      </c>
      <c r="P55" s="106" t="str">
        <f>'Plain View'!P55</f>
        <v>https://www.morningstar.com/funds/xnas/jarix/performance</v>
      </c>
      <c r="Q55" s="98"/>
    </row>
    <row r="56" spans="1:17">
      <c r="B56" s="47" t="str">
        <f>'Plain View'!B56</f>
        <v>Easterly Income Opportunities</v>
      </c>
      <c r="C56" s="47" t="str">
        <f>'Plain View'!C56</f>
        <v>JSVIX</v>
      </c>
      <c r="D56" s="109">
        <f>'Plain View'!D56</f>
        <v>2.0999999999999999E-3</v>
      </c>
      <c r="E56" s="109">
        <f>'Plain View'!E56</f>
        <v>1.3100000000000001E-2</v>
      </c>
      <c r="F56" s="109">
        <f>'Plain View'!F56</f>
        <v>1.2E-2</v>
      </c>
      <c r="G56" s="109">
        <f>'Plain View'!G56</f>
        <v>4.6199999999999998E-2</v>
      </c>
      <c r="H56" s="112">
        <f>'Plain View'!H56</f>
        <v>4.6399999999999997E-2</v>
      </c>
      <c r="I56" s="112">
        <f>'Plain View'!I56</f>
        <v>0.01</v>
      </c>
      <c r="J56" s="112">
        <f>'Plain View'!J56</f>
        <v>4.6800000000000001E-2</v>
      </c>
      <c r="K56" s="112">
        <f>'Plain View'!K56</f>
        <v>7.0099999999999996E-2</v>
      </c>
      <c r="L56" s="91">
        <f>'Plain View'!L56</f>
        <v>45271</v>
      </c>
      <c r="M56" s="90" t="str">
        <f>'Plain View'!M56</f>
        <v>Daily</v>
      </c>
      <c r="N56" s="47">
        <f>'Plain View'!N56</f>
        <v>0</v>
      </c>
      <c r="O56" s="47"/>
      <c r="P56" s="106" t="str">
        <f>'Plain View'!P56</f>
        <v>https://www.morningstar.com/funds/xnas/jsvix/performance</v>
      </c>
      <c r="Q56" s="98"/>
    </row>
    <row r="57" spans="1:17">
      <c r="B57" s="47" t="str">
        <f>'Plain View'!B57</f>
        <v>Jhancock Disciplined Value Mid Cap</v>
      </c>
      <c r="C57" s="47" t="str">
        <f>'Plain View'!C57</f>
        <v>JVMIX</v>
      </c>
      <c r="D57" s="109">
        <f>'Plain View'!D57</f>
        <v>7.4000000000000003E-3</v>
      </c>
      <c r="E57" s="109">
        <f>'Plain View'!E57</f>
        <v>7.0699999999999999E-2</v>
      </c>
      <c r="F57" s="109">
        <f>'Plain View'!F57</f>
        <v>3.8899999999999997E-2</v>
      </c>
      <c r="G57" s="109">
        <f>'Plain View'!G57</f>
        <v>0.1159</v>
      </c>
      <c r="H57" s="112">
        <f>'Plain View'!H57</f>
        <v>0.1094</v>
      </c>
      <c r="I57" s="112">
        <f>'Plain View'!I57</f>
        <v>0.1023</v>
      </c>
      <c r="J57" s="112">
        <f>'Plain View'!J57</f>
        <v>0.115</v>
      </c>
      <c r="K57" s="112">
        <f>'Plain View'!K57</f>
        <v>9.1000000000000004E-3</v>
      </c>
      <c r="L57" s="91">
        <f>'Plain View'!L57</f>
        <v>45271</v>
      </c>
      <c r="M57" s="90" t="str">
        <f>'Plain View'!M57</f>
        <v>Daily</v>
      </c>
      <c r="N57" s="47">
        <f>'Plain View'!N57</f>
        <v>0</v>
      </c>
      <c r="O57" s="47"/>
      <c r="P57" s="106" t="str">
        <f>'Plain View'!P57</f>
        <v>https://www.morningstar.com/funds/xnas/jvmix/performance</v>
      </c>
      <c r="Q57" s="98"/>
    </row>
    <row r="58" spans="1:17">
      <c r="B58" s="47" t="str">
        <f>'Plain View'!B58</f>
        <v>JP Morgan Equity Premium Income I</v>
      </c>
      <c r="C58" s="47" t="str">
        <f>'Plain View'!C58</f>
        <v>JEPIX</v>
      </c>
      <c r="D58" s="109">
        <f>'Plain View'!D58</f>
        <v>2.3E-3</v>
      </c>
      <c r="E58" s="109">
        <f>'Plain View'!E58</f>
        <v>2.4E-2</v>
      </c>
      <c r="F58" s="109">
        <f>'Plain View'!F58</f>
        <v>7.9000000000000008E-3</v>
      </c>
      <c r="G58" s="109">
        <f>'Plain View'!G58</f>
        <v>8.2699999999999996E-2</v>
      </c>
      <c r="H58" s="112">
        <f>'Plain View'!H58</f>
        <v>7.2400000000000006E-2</v>
      </c>
      <c r="I58" s="112">
        <f>'Plain View'!I58</f>
        <v>8.9700000000000002E-2</v>
      </c>
      <c r="J58" s="112">
        <f>'Plain View'!J58</f>
        <v>9.1899999999999996E-2</v>
      </c>
      <c r="K58" s="112">
        <f>'Plain View'!K58</f>
        <v>8.9300000000000004E-2</v>
      </c>
      <c r="L58" s="91">
        <f>'Plain View'!L58</f>
        <v>45271</v>
      </c>
      <c r="M58" s="90" t="str">
        <f>'Plain View'!M58</f>
        <v>Daily</v>
      </c>
      <c r="N58" s="47">
        <f>'Plain View'!N58</f>
        <v>0</v>
      </c>
      <c r="O58" s="47"/>
      <c r="P58" s="106" t="str">
        <f>'Plain View'!P58</f>
        <v>https://www.morningstar.com/funds/xnas/jepix/performance</v>
      </c>
      <c r="Q58" s="98"/>
    </row>
    <row r="59" spans="1:17">
      <c r="B59" s="47" t="str">
        <f>'Plain View'!B59</f>
        <v>JP Morgan Mid Cap Growth</v>
      </c>
      <c r="C59" s="47" t="str">
        <f>'Plain View'!C59</f>
        <v>HLGEX</v>
      </c>
      <c r="D59" s="109">
        <f>'Plain View'!D59</f>
        <v>8.9999999999999993E-3</v>
      </c>
      <c r="E59" s="109">
        <f>'Plain View'!E59</f>
        <v>8.6400000000000005E-2</v>
      </c>
      <c r="F59" s="109">
        <f>'Plain View'!F59</f>
        <v>3.3799999999999997E-2</v>
      </c>
      <c r="G59" s="109">
        <f>'Plain View'!G59</f>
        <v>0.17929999999999999</v>
      </c>
      <c r="H59" s="112">
        <f>'Plain View'!H59</f>
        <v>0.1555</v>
      </c>
      <c r="I59" s="112">
        <f>'Plain View'!I59</f>
        <v>-5.3E-3</v>
      </c>
      <c r="J59" s="112">
        <f>'Plain View'!J59</f>
        <v>0.1366</v>
      </c>
      <c r="K59" s="112" t="str">
        <f>'Plain View'!K59</f>
        <v>-</v>
      </c>
      <c r="L59" s="91">
        <f>'Plain View'!L59</f>
        <v>45271</v>
      </c>
      <c r="M59" s="90" t="str">
        <f>'Plain View'!M59</f>
        <v>Daily</v>
      </c>
      <c r="N59" s="47">
        <f>'Plain View'!N59</f>
        <v>0</v>
      </c>
      <c r="O59" s="47"/>
      <c r="P59" s="106" t="str">
        <f>'Plain View'!P59</f>
        <v>https://www.morningstar.com/funds/xnas/hlgex/performance</v>
      </c>
      <c r="Q59" s="98"/>
    </row>
    <row r="60" spans="1:17">
      <c r="A60" s="48">
        <f>'Plain View'!A60</f>
        <v>0</v>
      </c>
      <c r="B60" s="47" t="str">
        <f>'Plain View'!B60</f>
        <v>Needham Small Cap Growth Institutional</v>
      </c>
      <c r="C60" s="47" t="str">
        <f>'Plain View'!C60</f>
        <v>NESIX</v>
      </c>
      <c r="D60" s="109">
        <f>'Plain View'!D60</f>
        <v>2.1499999999999998E-2</v>
      </c>
      <c r="E60" s="109">
        <f>'Plain View'!E60</f>
        <v>0.13220000000000001</v>
      </c>
      <c r="F60" s="109">
        <f>'Plain View'!F60</f>
        <v>4.4699999999999997E-2</v>
      </c>
      <c r="G60" s="109">
        <f>'Plain View'!G60</f>
        <v>-4.5100000000000001E-2</v>
      </c>
      <c r="H60" s="109">
        <f>'Plain View'!H60</f>
        <v>-4.6800000000000001E-2</v>
      </c>
      <c r="I60" s="109">
        <f>'Plain View'!I60</f>
        <v>-6.7599999999999993E-2</v>
      </c>
      <c r="J60" s="109">
        <f>'Plain View'!J60</f>
        <v>0.1391</v>
      </c>
      <c r="K60" s="109" t="str">
        <f>'Plain View'!K60</f>
        <v>-</v>
      </c>
      <c r="L60" s="91">
        <f>'Plain View'!L60</f>
        <v>45271</v>
      </c>
      <c r="M60" s="90" t="str">
        <f>'Plain View'!M60</f>
        <v>Daily</v>
      </c>
      <c r="N60" s="47">
        <f>'Plain View'!N60</f>
        <v>0</v>
      </c>
      <c r="O60" s="47">
        <f>'Plain View'!O60</f>
        <v>0</v>
      </c>
      <c r="P60" s="106" t="str">
        <f>'Plain View'!P60</f>
        <v xml:space="preserve">https://www.morningstar.com/funds/xnas/nesix/performance </v>
      </c>
      <c r="Q60" s="98">
        <f>'Plain View'!Q60</f>
        <v>0</v>
      </c>
    </row>
    <row r="61" spans="1:17">
      <c r="B61" s="47" t="str">
        <f>'Plain View'!B61</f>
        <v>NexPoint Merger Arbitrage Fund</v>
      </c>
      <c r="C61" s="47" t="str">
        <f>'Plain View'!C61</f>
        <v>HMEZX</v>
      </c>
      <c r="D61" s="109">
        <f>'Plain View'!D61</f>
        <v>5.0000000000000001E-4</v>
      </c>
      <c r="E61" s="109">
        <f>'Plain View'!E61</f>
        <v>5.5999999999999999E-3</v>
      </c>
      <c r="F61" s="109">
        <f>'Plain View'!F61</f>
        <v>1.5800000000000002E-2</v>
      </c>
      <c r="G61" s="109">
        <f>'Plain View'!G61</f>
        <v>3.7199999999999997E-2</v>
      </c>
      <c r="H61" s="109">
        <f>'Plain View'!H61</f>
        <v>3.8899999999999997E-2</v>
      </c>
      <c r="I61" s="109">
        <f>'Plain View'!I61</f>
        <v>4.1799999999999997E-2</v>
      </c>
      <c r="J61" s="109">
        <f>'Plain View'!J61</f>
        <v>5.6000000000000001E-2</v>
      </c>
      <c r="K61" s="109">
        <f>'Plain View'!K61</f>
        <v>5.04E-2</v>
      </c>
      <c r="L61" s="91">
        <f>'Plain View'!L61</f>
        <v>45271</v>
      </c>
      <c r="M61" s="90" t="str">
        <f>'Plain View'!M61</f>
        <v>Daily</v>
      </c>
      <c r="N61" s="47">
        <f>'Plain View'!N61</f>
        <v>0</v>
      </c>
      <c r="O61" s="47">
        <f>'Plain View'!O61</f>
        <v>0</v>
      </c>
      <c r="P61" s="106" t="str">
        <f>'Plain View'!P61</f>
        <v xml:space="preserve">https://www.morningstar.com/funds/xnas/hmezx/performance </v>
      </c>
      <c r="Q61" s="98">
        <f>'Plain View'!Q61</f>
        <v>0</v>
      </c>
    </row>
    <row r="62" spans="1:17">
      <c r="A62" s="48">
        <f>'Plain View'!A62</f>
        <v>0</v>
      </c>
      <c r="B62" s="47" t="str">
        <f>'Plain View'!B62</f>
        <v>PGIM Jennison High Yield Z Share</v>
      </c>
      <c r="C62" s="47" t="str">
        <f>'Plain View'!C62</f>
        <v>PHYZX</v>
      </c>
      <c r="D62" s="109">
        <f>'Plain View'!D62</f>
        <v>1.2999999999999999E-3</v>
      </c>
      <c r="E62" s="109">
        <f>'Plain View'!E62</f>
        <v>2.98E-2</v>
      </c>
      <c r="F62" s="109">
        <f>'Plain View'!F62</f>
        <v>2.0400000000000001E-2</v>
      </c>
      <c r="G62" s="109">
        <f>'Plain View'!G62</f>
        <v>8.4199999999999997E-2</v>
      </c>
      <c r="H62" s="109">
        <f>'Plain View'!H62</f>
        <v>6.7799999999999999E-2</v>
      </c>
      <c r="I62" s="109">
        <f>'Plain View'!I62</f>
        <v>9.4000000000000004E-3</v>
      </c>
      <c r="J62" s="109">
        <f>'Plain View'!J62</f>
        <v>4.1399999999999999E-2</v>
      </c>
      <c r="K62" s="112">
        <f>'Plain View'!K62</f>
        <v>6.9800000000000001E-2</v>
      </c>
      <c r="L62" s="91">
        <f>'Plain View'!L62</f>
        <v>45271</v>
      </c>
      <c r="M62" s="90" t="str">
        <f>'Plain View'!M62</f>
        <v>Daily</v>
      </c>
      <c r="N62" s="47">
        <f>'Plain View'!N62</f>
        <v>0</v>
      </c>
      <c r="O62" s="47">
        <f>'Plain View'!O62</f>
        <v>0</v>
      </c>
      <c r="P62" s="106" t="str">
        <f>'Plain View'!P62</f>
        <v>https://www.morningstar.com/funds/xnas/phyzx/performance</v>
      </c>
      <c r="Q62" s="47">
        <f>'Plain View'!Q62</f>
        <v>0</v>
      </c>
    </row>
    <row r="63" spans="1:17">
      <c r="A63" s="48">
        <f>'Plain View'!A63</f>
        <v>0</v>
      </c>
      <c r="B63" s="47" t="str">
        <f>'Plain View'!B63</f>
        <v>PGIM Jennison Emerging Markets Equity Opportunities</v>
      </c>
      <c r="C63" s="47" t="str">
        <f>'Plain View'!C63</f>
        <v>PDEZX</v>
      </c>
      <c r="D63" s="109">
        <f>'Plain View'!D63</f>
        <v>1.6400000000000001E-2</v>
      </c>
      <c r="E63" s="109">
        <f>'Plain View'!E63</f>
        <v>5.0200000000000002E-2</v>
      </c>
      <c r="F63" s="109">
        <f>'Plain View'!F63</f>
        <v>4.9399999999999999E-2</v>
      </c>
      <c r="G63" s="109">
        <f>'Plain View'!G63</f>
        <v>0.1187</v>
      </c>
      <c r="H63" s="109">
        <f>'Plain View'!H63</f>
        <v>7.3999999999999996E-2</v>
      </c>
      <c r="I63" s="109">
        <f>'Plain View'!I63</f>
        <v>-0.1099</v>
      </c>
      <c r="J63" s="109">
        <f>'Plain View'!J63</f>
        <v>7.2700000000000001E-2</v>
      </c>
      <c r="K63" s="112" t="str">
        <f>'Plain View'!K63</f>
        <v>-</v>
      </c>
      <c r="L63" s="91">
        <f>'Plain View'!L63</f>
        <v>45271</v>
      </c>
      <c r="M63" s="90" t="str">
        <f>'Plain View'!M63</f>
        <v>Daily</v>
      </c>
      <c r="N63" s="47">
        <f>'Plain View'!N63</f>
        <v>0</v>
      </c>
      <c r="O63" s="47">
        <f>'Plain View'!O63</f>
        <v>0</v>
      </c>
      <c r="P63" s="106" t="str">
        <f>'Plain View'!P63</f>
        <v>https://www.morningstar.com/funds/xnas/pdezx/performance</v>
      </c>
      <c r="Q63" s="89">
        <f>'Plain View'!Q63</f>
        <v>0</v>
      </c>
    </row>
    <row r="64" spans="1:17">
      <c r="A64" s="48">
        <f>'Plain View'!A64</f>
        <v>0</v>
      </c>
      <c r="B64" s="47" t="str">
        <f>'Plain View'!B64</f>
        <v>PGIM Jennison Global Opportunities Fund</v>
      </c>
      <c r="C64" s="47" t="str">
        <f>'Plain View'!C64</f>
        <v>PRJZX</v>
      </c>
      <c r="D64" s="109">
        <f>'Plain View'!D64</f>
        <v>2.06E-2</v>
      </c>
      <c r="E64" s="109">
        <f>'Plain View'!E64</f>
        <v>5.0099999999999999E-2</v>
      </c>
      <c r="F64" s="109">
        <f>'Plain View'!F64</f>
        <v>5.67E-2</v>
      </c>
      <c r="G64" s="109">
        <f>'Plain View'!G64</f>
        <v>0.3931</v>
      </c>
      <c r="H64" s="109">
        <f>'Plain View'!H64</f>
        <v>0.3266</v>
      </c>
      <c r="I64" s="109">
        <f>'Plain View'!I64</f>
        <v>-1.7500000000000002E-2</v>
      </c>
      <c r="J64" s="109">
        <f>'Plain View'!J64</f>
        <v>0.14849999999999999</v>
      </c>
      <c r="K64" s="112" t="str">
        <f>'Plain View'!K64</f>
        <v>-</v>
      </c>
      <c r="L64" s="91">
        <f>'Plain View'!L64</f>
        <v>45271</v>
      </c>
      <c r="M64" s="90" t="str">
        <f>'Plain View'!M64</f>
        <v>Daily</v>
      </c>
      <c r="N64" s="47">
        <f>'Plain View'!N64</f>
        <v>0</v>
      </c>
      <c r="O64" s="47">
        <f>'Plain View'!O64</f>
        <v>0</v>
      </c>
      <c r="P64" s="106" t="str">
        <f>'Plain View'!P64</f>
        <v>https://www.morningstar.com/funds/xnas/prjzx/performance</v>
      </c>
      <c r="Q64" s="89">
        <f>'Plain View'!Q64</f>
        <v>0</v>
      </c>
    </row>
    <row r="65" spans="1:17">
      <c r="A65" s="97">
        <f>'Plain View'!A65</f>
        <v>0</v>
      </c>
      <c r="B65" s="93" t="str">
        <f>'Plain View'!B65</f>
        <v>PGIM Jennison MLP Z Share</v>
      </c>
      <c r="C65" s="93" t="str">
        <f>'Plain View'!C65</f>
        <v>PRPZX</v>
      </c>
      <c r="D65" s="120">
        <f>'Plain View'!D65</f>
        <v>-3.5000000000000003E-2</v>
      </c>
      <c r="E65" s="120">
        <f>'Plain View'!E65</f>
        <v>1.1900000000000001E-2</v>
      </c>
      <c r="F65" s="120">
        <f>'Plain View'!F65</f>
        <v>2.6200000000000001E-2</v>
      </c>
      <c r="G65" s="120">
        <f>'Plain View'!G65</f>
        <v>0.1135</v>
      </c>
      <c r="H65" s="120">
        <f>'Plain View'!H65</f>
        <v>0.1333</v>
      </c>
      <c r="I65" s="120">
        <f>'Plain View'!I65</f>
        <v>0.20569999999999999</v>
      </c>
      <c r="J65" s="120">
        <f>'Plain View'!J65</f>
        <v>9.0200000000000002E-2</v>
      </c>
      <c r="K65" s="120">
        <f>'Plain View'!K65</f>
        <v>6.9800000000000001E-2</v>
      </c>
      <c r="L65" s="108">
        <f>'Plain View'!L65</f>
        <v>45271</v>
      </c>
      <c r="M65" s="95" t="str">
        <f>'Plain View'!M65</f>
        <v>Daily</v>
      </c>
      <c r="N65" s="93">
        <f>'Plain View'!N65</f>
        <v>0</v>
      </c>
      <c r="O65" s="93">
        <f>'Plain View'!O65</f>
        <v>0</v>
      </c>
      <c r="P65" s="118" t="str">
        <f>'Plain View'!P65</f>
        <v>https://www.morningstar.com/funds/xnas/prpzx/performance</v>
      </c>
      <c r="Q65" s="107">
        <f>'Plain View'!Q65</f>
        <v>0</v>
      </c>
    </row>
    <row r="66" spans="1:17">
      <c r="A66" s="48">
        <f>'Plain View'!A66</f>
        <v>0</v>
      </c>
      <c r="B66" s="48" t="str">
        <f>'Plain View'!B66</f>
        <v>PGIM Short Duration High Yield Z Share</v>
      </c>
      <c r="C66" s="47" t="str">
        <f>'Plain View'!C66</f>
        <v>HYSZX</v>
      </c>
      <c r="D66" s="92">
        <f>'Plain View'!D66</f>
        <v>2.5000000000000001E-3</v>
      </c>
      <c r="E66" s="92">
        <f>'Plain View'!E66</f>
        <v>2.64E-2</v>
      </c>
      <c r="F66" s="92">
        <f>'Plain View'!F66</f>
        <v>2.24E-2</v>
      </c>
      <c r="G66" s="92">
        <f>'Plain View'!G66</f>
        <v>8.5300000000000001E-2</v>
      </c>
      <c r="H66" s="92">
        <f>'Plain View'!H66</f>
        <v>7.5499999999999998E-2</v>
      </c>
      <c r="I66" s="92">
        <f>'Plain View'!I66</f>
        <v>2.9499999999999998E-2</v>
      </c>
      <c r="J66" s="92">
        <f>'Plain View'!J66</f>
        <v>4.4900000000000002E-2</v>
      </c>
      <c r="K66" s="92">
        <f>'Plain View'!K66</f>
        <v>6.5199999999999994E-2</v>
      </c>
      <c r="L66" s="47">
        <f>'Plain View'!L66</f>
        <v>45271</v>
      </c>
      <c r="M66" s="47" t="str">
        <f>'Plain View'!M66</f>
        <v>Daily</v>
      </c>
      <c r="N66" s="47">
        <f>'Plain View'!N66</f>
        <v>0</v>
      </c>
      <c r="O66" s="47">
        <f>'Plain View'!O66</f>
        <v>0</v>
      </c>
      <c r="P66" s="132" t="str">
        <f>'Plain View'!P66</f>
        <v>https://www.morningstar.com/funds/xnas/hyszx/performance</v>
      </c>
      <c r="Q66" s="47">
        <f>'Plain View'!Q66</f>
        <v>0</v>
      </c>
    </row>
    <row r="67" spans="1:17">
      <c r="A67" s="48">
        <f>'Plain View'!A67</f>
        <v>0</v>
      </c>
      <c r="B67" s="47" t="str">
        <f>'Plain View'!B67</f>
        <v>PIMCO Income Fund</v>
      </c>
      <c r="C67" s="47" t="str">
        <f>'Plain View'!C67</f>
        <v>PONPX</v>
      </c>
      <c r="D67" s="47">
        <f>'Plain View'!D67</f>
        <v>1.0699999999999999E-2</v>
      </c>
      <c r="E67" s="47">
        <f>'Plain View'!E67</f>
        <v>4.1599999999999998E-2</v>
      </c>
      <c r="F67" s="47">
        <f>'Plain View'!F67</f>
        <v>3.2599999999999997E-2</v>
      </c>
      <c r="G67" s="47">
        <f>'Plain View'!G67</f>
        <v>7.9600000000000004E-2</v>
      </c>
      <c r="H67" s="47">
        <f>'Plain View'!H67</f>
        <v>6.7100000000000007E-2</v>
      </c>
      <c r="I67" s="47">
        <f>'Plain View'!I67</f>
        <v>8.9999999999999993E-3</v>
      </c>
      <c r="J67" s="47">
        <f>'Plain View'!J67</f>
        <v>3.1699999999999999E-2</v>
      </c>
      <c r="K67" s="90">
        <f>'Plain View'!K67</f>
        <v>7.2800000000000004E-2</v>
      </c>
      <c r="L67" s="47">
        <f>'Plain View'!L67</f>
        <v>45271</v>
      </c>
      <c r="M67" s="47" t="str">
        <f>'Plain View'!M67</f>
        <v>Daily</v>
      </c>
      <c r="N67" s="47">
        <f>'Plain View'!N67</f>
        <v>0</v>
      </c>
      <c r="O67" s="47">
        <f>'Plain View'!O67</f>
        <v>0</v>
      </c>
      <c r="P67" s="89" t="str">
        <f>'Plain View'!P67</f>
        <v>https://www.morningstar.com/funds/xnas/ponpx/performance</v>
      </c>
      <c r="Q67" s="47">
        <f>'Plain View'!Q67</f>
        <v>0</v>
      </c>
    </row>
    <row r="68" spans="1:17">
      <c r="A68" s="47"/>
      <c r="B68" s="47" t="str">
        <f>'Plain View'!B68</f>
        <v>Undiscovered Managers Behavioral Value</v>
      </c>
      <c r="C68" s="47" t="str">
        <f>'Plain View'!C68</f>
        <v>UBVSX</v>
      </c>
      <c r="D68" s="47">
        <f>'Plain View'!D68</f>
        <v>4.0000000000000002E-4</v>
      </c>
      <c r="E68" s="47">
        <f>'Plain View'!E68</f>
        <v>0.1004</v>
      </c>
      <c r="F68" s="47">
        <f>'Plain View'!F68</f>
        <v>6.4600000000000005E-2</v>
      </c>
      <c r="G68" s="47">
        <f>'Plain View'!G68</f>
        <v>8.0600000000000005E-2</v>
      </c>
      <c r="H68" s="47">
        <f>'Plain View'!H68</f>
        <v>7.3599999999999999E-2</v>
      </c>
      <c r="I68" s="47">
        <f>'Plain View'!I68</f>
        <v>0.1351</v>
      </c>
      <c r="J68" s="47">
        <f>'Plain View'!J68</f>
        <v>0.1106</v>
      </c>
      <c r="K68" s="90">
        <f>'Plain View'!K68</f>
        <v>9.1999999999999998E-3</v>
      </c>
      <c r="L68" s="47">
        <f>'Plain View'!L68</f>
        <v>45271</v>
      </c>
      <c r="M68" s="47" t="str">
        <f>'Plain View'!M68</f>
        <v>Daily</v>
      </c>
      <c r="N68" s="47">
        <f>'Plain View'!N68</f>
        <v>0</v>
      </c>
      <c r="O68" s="47">
        <f>'Plain View'!O68</f>
        <v>0</v>
      </c>
      <c r="P68" s="89" t="str">
        <f>'Plain View'!P68</f>
        <v>https://www.morningstar.com/funds/xnas/ubvsx/performance</v>
      </c>
      <c r="Q68" s="47">
        <f>'Plain View'!Q68</f>
        <v>0</v>
      </c>
    </row>
    <row r="69" spans="1:17">
      <c r="A69" s="131">
        <f>'Plain View'!A69</f>
        <v>0</v>
      </c>
      <c r="B69" s="47" t="str">
        <f>'Plain View'!B69</f>
        <v>Average</v>
      </c>
      <c r="C69" s="47">
        <f>'Plain View'!C69</f>
        <v>0</v>
      </c>
      <c r="D69" s="47">
        <f>'Plain View'!D69</f>
        <v>1.0777777777777778E-3</v>
      </c>
      <c r="E69" s="47">
        <f>'Plain View'!E69</f>
        <v>4.7838888888888903E-2</v>
      </c>
      <c r="F69" s="47">
        <f>'Plain View'!F69</f>
        <v>3.2449999999999993E-2</v>
      </c>
      <c r="G69" s="47">
        <f>'Plain View'!G69</f>
        <v>0.10693888888888889</v>
      </c>
      <c r="H69" s="47">
        <f>'Plain View'!H69</f>
        <v>9.7099999999999992E-2</v>
      </c>
      <c r="I69" s="47">
        <f>'Plain View'!I69</f>
        <v>4.6827777777777774E-2</v>
      </c>
      <c r="J69" s="47">
        <f>'Plain View'!J69</f>
        <v>8.0238888888888915E-2</v>
      </c>
      <c r="K69" s="90">
        <f>'Plain View'!K69</f>
        <v>5.0499999999999996E-2</v>
      </c>
      <c r="L69" s="47">
        <f>'Plain View'!L69</f>
        <v>0</v>
      </c>
      <c r="M69" s="47">
        <f>'Plain View'!M69</f>
        <v>0</v>
      </c>
      <c r="N69" s="47">
        <f>'Plain View'!N69</f>
        <v>0</v>
      </c>
      <c r="O69" s="47">
        <f>'Plain View'!O69</f>
        <v>0</v>
      </c>
      <c r="P69" s="89">
        <f>'Plain View'!P69</f>
        <v>0</v>
      </c>
      <c r="Q69" s="47">
        <f>'Plain View'!Q69</f>
        <v>0</v>
      </c>
    </row>
    <row r="70" spans="1:17">
      <c r="A70" s="48">
        <f>'Plain View'!A70</f>
        <v>0</v>
      </c>
      <c r="B70" s="97">
        <f>'Plain View'!B70</f>
        <v>0</v>
      </c>
      <c r="C70" s="114">
        <f>'Plain View'!C70</f>
        <v>0</v>
      </c>
      <c r="D70" s="102">
        <f>'Plain View'!D70</f>
        <v>0</v>
      </c>
      <c r="E70" s="102">
        <f>'Plain View'!E70</f>
        <v>0</v>
      </c>
      <c r="F70" s="102">
        <f>'Plain View'!F70</f>
        <v>0</v>
      </c>
      <c r="G70" s="102">
        <f>'Plain View'!G70</f>
        <v>0</v>
      </c>
      <c r="H70" s="102">
        <f>'Plain View'!H70</f>
        <v>0</v>
      </c>
      <c r="I70" s="102">
        <f>'Plain View'!I70</f>
        <v>0</v>
      </c>
      <c r="J70" s="102">
        <f>'Plain View'!J70</f>
        <v>0</v>
      </c>
      <c r="K70" s="102">
        <f>'Plain View'!K70</f>
        <v>0</v>
      </c>
      <c r="L70" s="102">
        <f>'Plain View'!L70</f>
        <v>0</v>
      </c>
      <c r="M70" s="97">
        <f>'Plain View'!M70</f>
        <v>0</v>
      </c>
      <c r="N70" s="102">
        <f>'Plain View'!N70</f>
        <v>0</v>
      </c>
      <c r="O70" s="97">
        <f>'Plain View'!O70</f>
        <v>0</v>
      </c>
      <c r="P70" s="118">
        <f>'Plain View'!P70</f>
        <v>0</v>
      </c>
      <c r="Q70" s="93">
        <f>'Plain View'!Q70</f>
        <v>0</v>
      </c>
    </row>
    <row r="71" spans="1:17">
      <c r="A71" s="105">
        <f>'Plain View'!A71</f>
        <v>0</v>
      </c>
      <c r="B71" s="103">
        <f>'Plain View'!B71</f>
        <v>0</v>
      </c>
      <c r="C71" s="103">
        <f>'Plain View'!C71</f>
        <v>0</v>
      </c>
      <c r="D71" s="127">
        <f>'Plain View'!D71</f>
        <v>0</v>
      </c>
      <c r="E71" s="127">
        <f>'Plain View'!E71</f>
        <v>0</v>
      </c>
      <c r="F71" s="127">
        <f>'Plain View'!F71</f>
        <v>0</v>
      </c>
      <c r="G71" s="127">
        <f>'Plain View'!G71</f>
        <v>0</v>
      </c>
      <c r="H71" s="127">
        <f>'Plain View'!H71</f>
        <v>0</v>
      </c>
      <c r="I71" s="127">
        <f>'Plain View'!I71</f>
        <v>0</v>
      </c>
      <c r="J71" s="127">
        <f>'Plain View'!J71</f>
        <v>0</v>
      </c>
      <c r="K71" s="126">
        <f>'Plain View'!K71</f>
        <v>0</v>
      </c>
      <c r="L71" s="125">
        <f>'Plain View'!L71</f>
        <v>0</v>
      </c>
      <c r="M71" s="124">
        <f>'Plain View'!M71</f>
        <v>0</v>
      </c>
      <c r="N71" s="129"/>
      <c r="O71" s="48"/>
      <c r="P71" s="123"/>
    </row>
    <row r="72" spans="1:17">
      <c r="B72" s="47">
        <f>'Plain View'!B72</f>
        <v>0</v>
      </c>
      <c r="C72" s="47">
        <f>'Plain View'!C72</f>
        <v>0</v>
      </c>
      <c r="D72" s="109">
        <f>'Plain View'!D72</f>
        <v>0</v>
      </c>
      <c r="E72" s="109">
        <f>'Plain View'!E72</f>
        <v>0</v>
      </c>
      <c r="F72" s="109">
        <f>'Plain View'!F72</f>
        <v>0</v>
      </c>
      <c r="G72" s="109">
        <f>'Plain View'!G72</f>
        <v>0</v>
      </c>
      <c r="H72" s="109">
        <f>'Plain View'!H72</f>
        <v>0</v>
      </c>
      <c r="I72" s="109">
        <f>'Plain View'!I72</f>
        <v>0</v>
      </c>
      <c r="J72" s="109">
        <f>'Plain View'!J72</f>
        <v>0</v>
      </c>
      <c r="K72" s="112">
        <f>'Plain View'!K72</f>
        <v>0</v>
      </c>
      <c r="L72" s="91">
        <f>'Plain View'!L72</f>
        <v>0</v>
      </c>
      <c r="M72" s="90">
        <f>'Plain View'!M72</f>
        <v>0</v>
      </c>
      <c r="N72" s="129"/>
      <c r="O72" s="48"/>
      <c r="P72" s="123"/>
    </row>
    <row r="73" spans="1:17">
      <c r="B73" s="47" t="str">
        <f>'Plain View'!B73</f>
        <v>Name</v>
      </c>
      <c r="C73" s="47" t="str">
        <f>'Plain View'!C73</f>
        <v>Symbol</v>
      </c>
      <c r="D73" s="109" t="str">
        <f>'Plain View'!D73</f>
        <v>1-Week</v>
      </c>
      <c r="E73" s="109" t="str">
        <f>'Plain View'!E73</f>
        <v>1-Month</v>
      </c>
      <c r="F73" s="109" t="str">
        <f>'Plain View'!F73</f>
        <v>3-Month</v>
      </c>
      <c r="G73" s="109" t="str">
        <f>'Plain View'!G73</f>
        <v>YTD</v>
      </c>
      <c r="H73" s="109" t="str">
        <f>'Plain View'!H73</f>
        <v>1-Year</v>
      </c>
      <c r="I73" s="109" t="str">
        <f>'Plain View'!I73</f>
        <v>3-Year</v>
      </c>
      <c r="J73" s="109" t="str">
        <f>'Plain View'!J73</f>
        <v>5-Year</v>
      </c>
      <c r="K73" s="112" t="str">
        <f>'Plain View'!K73</f>
        <v>Yield</v>
      </c>
      <c r="L73" s="91" t="str">
        <f>'Plain View'!L73</f>
        <v>Value as of</v>
      </c>
      <c r="M73" s="90" t="str">
        <f>'Plain View'!M73</f>
        <v>Frequency</v>
      </c>
      <c r="N73" s="129"/>
      <c r="O73" s="48"/>
      <c r="P73" s="123"/>
    </row>
    <row r="74" spans="1:17">
      <c r="A74" s="47"/>
      <c r="B74" s="47" t="str">
        <f>'Plain View'!B74</f>
        <v>Calamos Hedged Equity I</v>
      </c>
      <c r="C74" s="47" t="str">
        <f>'Plain View'!C74</f>
        <v>CIHEX</v>
      </c>
      <c r="D74" s="109">
        <f>'Plain View'!D74</f>
        <v>6.1000000000000004E-3</v>
      </c>
      <c r="E74" s="109">
        <f>'Plain View'!E74</f>
        <v>2.98E-2</v>
      </c>
      <c r="F74" s="109">
        <f>'Plain View'!F74</f>
        <v>2.5999999999999999E-2</v>
      </c>
      <c r="G74" s="109">
        <f>'Plain View'!G74</f>
        <v>0.1343</v>
      </c>
      <c r="H74" s="109">
        <f>'Plain View'!H74</f>
        <v>0.12520000000000001</v>
      </c>
      <c r="I74" s="109">
        <f>'Plain View'!I74</f>
        <v>4.9700000000000001E-2</v>
      </c>
      <c r="J74" s="109">
        <f>'Plain View'!J74</f>
        <v>6.9900000000000004E-2</v>
      </c>
      <c r="K74" s="112">
        <f>'Plain View'!K74</f>
        <v>7.9000000000000008E-3</v>
      </c>
      <c r="L74" s="91">
        <f>'Plain View'!L74</f>
        <v>45271</v>
      </c>
      <c r="M74" s="90" t="str">
        <f>'Plain View'!M74</f>
        <v>Daily</v>
      </c>
      <c r="N74" s="47">
        <f>'Plain View'!N74</f>
        <v>0</v>
      </c>
      <c r="O74" s="47">
        <f>'Plain View'!O74</f>
        <v>0</v>
      </c>
      <c r="P74" s="106" t="str">
        <f>'Plain View'!P74</f>
        <v>https://www.morningstar.com/funds/xnas/cihex/performance</v>
      </c>
      <c r="Q74" s="106">
        <f>'Plain View'!Q74</f>
        <v>0</v>
      </c>
    </row>
    <row r="75" spans="1:17">
      <c r="A75" s="48">
        <f>'Plain View'!A75</f>
        <v>0</v>
      </c>
      <c r="B75" s="47" t="str">
        <f>'Plain View'!B75</f>
        <v>JP Morgan Hedged Equity</v>
      </c>
      <c r="C75" s="47" t="str">
        <f>'Plain View'!C75</f>
        <v>JHEQX</v>
      </c>
      <c r="D75" s="109">
        <f>'Plain View'!D75</f>
        <v>4.3E-3</v>
      </c>
      <c r="E75" s="109">
        <f>'Plain View'!E75</f>
        <v>2.3599999999999999E-2</v>
      </c>
      <c r="F75" s="109">
        <f>'Plain View'!F75</f>
        <v>3.8999999999999998E-3</v>
      </c>
      <c r="G75" s="109">
        <f>'Plain View'!G75</f>
        <v>0.1545</v>
      </c>
      <c r="H75" s="109">
        <f>'Plain View'!H75</f>
        <v>0.16669999999999999</v>
      </c>
      <c r="I75" s="109">
        <f>'Plain View'!I75</f>
        <v>6.6600000000000006E-2</v>
      </c>
      <c r="J75" s="109">
        <f>'Plain View'!J75</f>
        <v>9.2700000000000005E-2</v>
      </c>
      <c r="K75" s="109">
        <f>'Plain View'!K75</f>
        <v>9.5999999999999992E-3</v>
      </c>
      <c r="L75" s="91">
        <f>'Plain View'!L75</f>
        <v>45271</v>
      </c>
      <c r="M75" s="90" t="str">
        <f>'Plain View'!M75</f>
        <v>Daily</v>
      </c>
      <c r="N75" s="47">
        <f>'Plain View'!N75</f>
        <v>0</v>
      </c>
      <c r="O75" s="47">
        <f>'Plain View'!O75</f>
        <v>0</v>
      </c>
      <c r="P75" s="106" t="str">
        <f>'Plain View'!P75</f>
        <v>https://www.morningstar.com/funds/xnas/jheqx/performance</v>
      </c>
      <c r="Q75" s="106">
        <f>'Plain View'!Q75</f>
        <v>0</v>
      </c>
    </row>
    <row r="76" spans="1:17">
      <c r="A76" s="48">
        <f>'Plain View'!A76</f>
        <v>0</v>
      </c>
      <c r="B76" s="47" t="str">
        <f>'Plain View'!B76</f>
        <v>JP Morgan Hedged Equity 2</v>
      </c>
      <c r="C76" s="47" t="str">
        <f>'Plain View'!C76</f>
        <v>JHQDX</v>
      </c>
      <c r="D76" s="109">
        <f>'Plain View'!D76</f>
        <v>3.2000000000000002E-3</v>
      </c>
      <c r="E76" s="109">
        <f>'Plain View'!E76</f>
        <v>1.54E-2</v>
      </c>
      <c r="F76" s="109">
        <f>'Plain View'!F76</f>
        <v>6.7999999999999996E-3</v>
      </c>
      <c r="G76" s="109">
        <f>'Plain View'!G76</f>
        <v>0.14580000000000001</v>
      </c>
      <c r="H76" s="109">
        <f>'Plain View'!H76</f>
        <v>0.1265</v>
      </c>
      <c r="I76" s="109" t="str">
        <f>'Plain View'!I76</f>
        <v>—</v>
      </c>
      <c r="J76" s="109" t="str">
        <f>'Plain View'!J76</f>
        <v>—</v>
      </c>
      <c r="K76" s="109">
        <f>'Plain View'!K76</f>
        <v>9.4000000000000004E-3</v>
      </c>
      <c r="L76" s="91">
        <f>'Plain View'!L76</f>
        <v>45271</v>
      </c>
      <c r="M76" s="90" t="str">
        <f>'Plain View'!M76</f>
        <v>Daily</v>
      </c>
      <c r="N76" s="47">
        <f>'Plain View'!N76</f>
        <v>0</v>
      </c>
      <c r="O76" s="47">
        <f>'Plain View'!O76</f>
        <v>0</v>
      </c>
      <c r="P76" s="106" t="str">
        <f>'Plain View'!P76</f>
        <v>https://www.morningstar.com/funds/xnas/jhqdx/performance</v>
      </c>
      <c r="Q76" s="106">
        <f>'Plain View'!Q76</f>
        <v>0</v>
      </c>
    </row>
    <row r="77" spans="1:17">
      <c r="A77" s="105">
        <f>'Plain View'!A77</f>
        <v>0</v>
      </c>
      <c r="B77" s="105" t="str">
        <f>'Plain View'!B77</f>
        <v>Swan Defined Risk Emerging Markets I</v>
      </c>
      <c r="C77" s="105" t="str">
        <f>'Plain View'!C77</f>
        <v>SDFIX</v>
      </c>
      <c r="D77" s="139">
        <f>'Plain View'!D77</f>
        <v>0</v>
      </c>
      <c r="E77" s="139">
        <f>'Plain View'!E77</f>
        <v>1.15E-2</v>
      </c>
      <c r="F77" s="139">
        <f>'Plain View'!F77</f>
        <v>-3.3999999999999998E-3</v>
      </c>
      <c r="G77" s="139">
        <f>'Plain View'!G77</f>
        <v>2.3300000000000001E-2</v>
      </c>
      <c r="H77" s="139">
        <f>'Plain View'!H77</f>
        <v>1.4E-2</v>
      </c>
      <c r="I77" s="139">
        <f>'Plain View'!I77</f>
        <v>-2.3300000000000001E-2</v>
      </c>
      <c r="J77" s="139">
        <f>'Plain View'!J77</f>
        <v>-4.0000000000000002E-4</v>
      </c>
      <c r="K77" s="126">
        <f>'Plain View'!K77</f>
        <v>1.4800000000000001E-2</v>
      </c>
      <c r="L77" s="125"/>
      <c r="M77" s="124" t="str">
        <f>'Plain View'!M77</f>
        <v>Daily</v>
      </c>
      <c r="N77" s="103">
        <f>'Plain View'!N77</f>
        <v>0</v>
      </c>
      <c r="O77" s="103">
        <f>'Plain View'!O77</f>
        <v>0</v>
      </c>
      <c r="P77" s="141" t="str">
        <f>'Plain View'!P77</f>
        <v>https://www.morningstar.com/funds/xnas/sdfix/performance</v>
      </c>
      <c r="Q77" s="128" t="str">
        <f>'Plain View'!Q77</f>
        <v>https://seekingalpha.com/symbol/SDFIX/dividends/scorecard</v>
      </c>
    </row>
    <row r="78" spans="1:17">
      <c r="A78" s="48">
        <f>'Plain View'!A78</f>
        <v>0</v>
      </c>
      <c r="B78" s="48" t="str">
        <f>'Plain View'!B78</f>
        <v>Swan Defined Risk Fund Class I</v>
      </c>
      <c r="C78" s="48" t="str">
        <f>'Plain View'!C78</f>
        <v>SDRIX</v>
      </c>
      <c r="D78" s="122">
        <f>'Plain View'!D78</f>
        <v>7.7999999999999996E-3</v>
      </c>
      <c r="E78" s="122">
        <f>'Plain View'!E78</f>
        <v>2.6599999999999999E-2</v>
      </c>
      <c r="F78" s="122">
        <f>'Plain View'!F78</f>
        <v>4.4999999999999997E-3</v>
      </c>
      <c r="G78" s="122">
        <f>'Plain View'!G78</f>
        <v>0.1004</v>
      </c>
      <c r="H78" s="122">
        <f>'Plain View'!H78</f>
        <v>8.6400000000000005E-2</v>
      </c>
      <c r="I78" s="122">
        <f>'Plain View'!I78</f>
        <v>4.48E-2</v>
      </c>
      <c r="J78" s="122">
        <f>'Plain View'!J78</f>
        <v>5.0900000000000001E-2</v>
      </c>
      <c r="K78" s="112" t="str">
        <f>'Plain View'!K78</f>
        <v>-</v>
      </c>
      <c r="L78" s="91">
        <f>'Plain View'!L77</f>
        <v>45271</v>
      </c>
      <c r="M78" s="90" t="str">
        <f>'Plain View'!M78</f>
        <v>Daily</v>
      </c>
      <c r="N78" s="47">
        <f>'Plain View'!N78</f>
        <v>0</v>
      </c>
      <c r="O78" s="47">
        <f>'Plain View'!O78</f>
        <v>0</v>
      </c>
      <c r="P78" s="121" t="str">
        <f>'Plain View'!P78</f>
        <v>https://www.morningstar.com/funds/xnas/sdrix/performance</v>
      </c>
      <c r="Q78" s="89" t="str">
        <f>'Plain View'!Q78</f>
        <v>https://seekingalpha.com/symbol/SDRIX/dividends/scorecard?s=sdrix</v>
      </c>
    </row>
    <row r="79" spans="1:17" ht="13">
      <c r="A79" s="93">
        <f>'Plain View'!A79</f>
        <v>0</v>
      </c>
      <c r="B79" s="97" t="str">
        <f>'Plain View'!B79</f>
        <v>Swan Defined Risk Growth Fund I</v>
      </c>
      <c r="C79" s="116" t="str">
        <f>'Plain View'!C79</f>
        <v>SDAIX</v>
      </c>
      <c r="D79" s="118"/>
      <c r="E79" s="102">
        <f>'Plain View'!E79</f>
        <v>2.9499999999999998E-2</v>
      </c>
      <c r="F79" s="102">
        <f>'Plain View'!F79</f>
        <v>7.1999999999999998E-3</v>
      </c>
      <c r="G79" s="102">
        <f>'Plain View'!G79</f>
        <v>0.13200000000000001</v>
      </c>
      <c r="H79" s="102">
        <f>'Plain View'!H79</f>
        <v>0.1075</v>
      </c>
      <c r="I79" s="102">
        <f>'Plain View'!I79</f>
        <v>5.2699999999999997E-2</v>
      </c>
      <c r="J79" s="115" t="str">
        <f>'Plain View'!J79</f>
        <v>—</v>
      </c>
      <c r="K79" s="115" t="str">
        <f>'Plain View'!K79</f>
        <v>-</v>
      </c>
      <c r="L79" s="102">
        <f>'Plain View'!L79</f>
        <v>45271</v>
      </c>
      <c r="M79" s="102" t="str">
        <f>'Plain View'!M79</f>
        <v>Daily</v>
      </c>
      <c r="N79" s="102">
        <f>'Plain View'!N79</f>
        <v>0</v>
      </c>
      <c r="O79" s="97">
        <f>'Plain View'!O79</f>
        <v>0</v>
      </c>
      <c r="P79" s="107" t="str">
        <f>'Plain View'!P79</f>
        <v>https://www.morningstar.com/funds/xnas/sdaix/performance</v>
      </c>
      <c r="Q79" s="93">
        <f>'Plain View'!Q79</f>
        <v>0</v>
      </c>
    </row>
    <row r="80" spans="1:17">
      <c r="A80" s="48">
        <f>'Plain View'!A80</f>
        <v>0</v>
      </c>
      <c r="B80" s="47" t="str">
        <f>'Plain View'!B80</f>
        <v>Average</v>
      </c>
      <c r="C80" s="47">
        <f>'Plain View'!C80</f>
        <v>0</v>
      </c>
      <c r="D80" s="47">
        <f>'Plain View'!D80</f>
        <v>4.9833333333333335E-3</v>
      </c>
      <c r="E80" s="110">
        <f>'Plain View'!E80</f>
        <v>2.2733333333333331E-2</v>
      </c>
      <c r="F80" s="109">
        <f>'Plain View'!F80</f>
        <v>7.4999999999999989E-3</v>
      </c>
      <c r="G80" s="109">
        <f>'Plain View'!G80</f>
        <v>0.11505</v>
      </c>
      <c r="H80" s="109">
        <f>'Plain View'!H80</f>
        <v>0.10438333333333334</v>
      </c>
      <c r="I80" s="109">
        <f>'Plain View'!I80</f>
        <v>3.8100000000000002E-2</v>
      </c>
      <c r="J80" s="109">
        <f>'Plain View'!J80</f>
        <v>5.3275000000000003E-2</v>
      </c>
      <c r="K80" s="109">
        <f>'Plain View'!K80</f>
        <v>0</v>
      </c>
      <c r="L80" s="91">
        <f>'Plain View'!L80</f>
        <v>0</v>
      </c>
      <c r="M80" s="91">
        <f>'Plain View'!M80</f>
        <v>0</v>
      </c>
      <c r="N80" s="91">
        <f>'Plain View'!N80</f>
        <v>0</v>
      </c>
      <c r="O80" s="89">
        <f>'Plain View'!O80</f>
        <v>0</v>
      </c>
      <c r="P80" s="98">
        <f>'Plain View'!P80</f>
        <v>0</v>
      </c>
      <c r="Q80" s="106">
        <f>'Plain View'!Q80</f>
        <v>0</v>
      </c>
    </row>
    <row r="81" spans="1:17">
      <c r="B81" s="47">
        <f>'Plain View'!B81</f>
        <v>0</v>
      </c>
      <c r="C81" s="47">
        <f>'Plain View'!C81</f>
        <v>0</v>
      </c>
      <c r="D81" s="47">
        <f>'Plain View'!D81</f>
        <v>0</v>
      </c>
      <c r="E81" s="110">
        <f>'Plain View'!E81</f>
        <v>0</v>
      </c>
      <c r="F81" s="109">
        <f>'Plain View'!F81</f>
        <v>0</v>
      </c>
      <c r="G81" s="109">
        <f>'Plain View'!G81</f>
        <v>0</v>
      </c>
      <c r="H81" s="109">
        <f>'Plain View'!H81</f>
        <v>0</v>
      </c>
      <c r="I81" s="109">
        <f>'Plain View'!I81</f>
        <v>0</v>
      </c>
      <c r="J81" s="109">
        <f>'Plain View'!J81</f>
        <v>0</v>
      </c>
      <c r="K81" s="109">
        <f>'Plain View'!K81</f>
        <v>0</v>
      </c>
      <c r="L81" s="91">
        <f>'Plain View'!L81</f>
        <v>0</v>
      </c>
      <c r="M81" s="91">
        <f>'Plain View'!M81</f>
        <v>0</v>
      </c>
      <c r="N81" s="91">
        <f>'Plain View'!N81</f>
        <v>0</v>
      </c>
      <c r="O81" s="89">
        <f>'Plain View'!O81</f>
        <v>0</v>
      </c>
      <c r="P81" s="98">
        <f>'Plain View'!P81</f>
        <v>0</v>
      </c>
      <c r="Q81" s="106">
        <f>'Plain View'!Q81</f>
        <v>0</v>
      </c>
    </row>
    <row r="82" spans="1:17">
      <c r="B82" s="47" t="str">
        <f>'Plain View'!B82</f>
        <v>Name</v>
      </c>
      <c r="C82" s="47" t="str">
        <f>'Plain View'!C82</f>
        <v>Share Class</v>
      </c>
      <c r="D82" s="47">
        <f>'Plain View'!D82</f>
        <v>0</v>
      </c>
      <c r="E82" s="110" t="str">
        <f>'Plain View'!E82</f>
        <v>NAV</v>
      </c>
      <c r="F82" s="109" t="str">
        <f>'Plain View'!F82</f>
        <v>1-Month</v>
      </c>
      <c r="G82" s="109" t="str">
        <f>'Plain View'!G82</f>
        <v>YTD</v>
      </c>
      <c r="H82" s="109" t="str">
        <f>'Plain View'!H82</f>
        <v>1-Year</v>
      </c>
      <c r="I82" s="109" t="str">
        <f>'Plain View'!I82</f>
        <v>3-Year</v>
      </c>
      <c r="J82" s="109" t="str">
        <f>'Plain View'!J82</f>
        <v>Annualized Return</v>
      </c>
      <c r="K82" s="109" t="str">
        <f>'Plain View'!K82</f>
        <v>Yield</v>
      </c>
      <c r="L82" s="91" t="str">
        <f>'Plain View'!L82</f>
        <v xml:space="preserve">Value as of </v>
      </c>
      <c r="M82" s="91" t="str">
        <f>'Plain View'!M82</f>
        <v>Frequency</v>
      </c>
      <c r="N82" s="91" t="str">
        <f>'Plain View'!N82</f>
        <v>Date Updated</v>
      </c>
      <c r="O82" s="89" t="str">
        <f>'Plain View'!O82</f>
        <v>Notes</v>
      </c>
      <c r="P82" s="98">
        <f>'Plain View'!P82</f>
        <v>0</v>
      </c>
      <c r="Q82" s="106">
        <f>'Plain View'!Q82</f>
        <v>0</v>
      </c>
    </row>
    <row r="83" spans="1:17">
      <c r="A83" s="48" t="str">
        <f>'Plain View'!A83</f>
        <v>Interval Funds</v>
      </c>
      <c r="B83" s="47" t="str">
        <f>'Plain View'!B83</f>
        <v>Apollo Diversified Real Estate Fund (GRIFX)</v>
      </c>
      <c r="C83" s="47" t="str">
        <f>'Plain View'!C83</f>
        <v>I</v>
      </c>
      <c r="D83" s="47">
        <f>'Plain View'!D83</f>
        <v>0</v>
      </c>
      <c r="E83" s="110">
        <f>'Plain View'!E83</f>
        <v>26.33</v>
      </c>
      <c r="F83" s="109">
        <f>'Plain View'!F83</f>
        <v>2.01E-2</v>
      </c>
      <c r="G83" s="109">
        <f>'Plain View'!G83</f>
        <v>-3.7199999999999997E-2</v>
      </c>
      <c r="H83" s="109">
        <f>'Plain View'!H83</f>
        <v>-7.1099999999999997E-2</v>
      </c>
      <c r="I83" s="109">
        <f>'Plain View'!I83</f>
        <v>6.2E-2</v>
      </c>
      <c r="J83" s="109">
        <f>'Plain View'!J83</f>
        <v>4.3799999999999999E-2</v>
      </c>
      <c r="K83" s="109">
        <f>'Plain View'!K83</f>
        <v>5.5800000000000002E-2</v>
      </c>
      <c r="L83" s="91">
        <f>'Plain View'!L83</f>
        <v>45271</v>
      </c>
      <c r="M83" s="91" t="str">
        <f>'Plain View'!M83</f>
        <v>Daily</v>
      </c>
      <c r="N83" s="91">
        <f>'Plain View'!N83</f>
        <v>45246</v>
      </c>
      <c r="O83" s="89">
        <f>'Plain View'!O83</f>
        <v>0</v>
      </c>
      <c r="P83" s="98" t="str">
        <f>'Plain View'!P83</f>
        <v>https://apollodiversifiedrealestatefund.apollo.com/performance/</v>
      </c>
      <c r="Q83" s="106" t="str">
        <f>'Plain View'!Q83</f>
        <v xml:space="preserve">https://www.morningstar.com/cefs/xnas/grifx/total-returns </v>
      </c>
    </row>
    <row r="84" spans="1:17">
      <c r="B84" s="47" t="str">
        <f>'Plain View'!B84</f>
        <v>Bluebay Destra International Event Driven Credit Fund (CEDIX)</v>
      </c>
      <c r="C84" s="47" t="str">
        <f>'Plain View'!C84</f>
        <v>I</v>
      </c>
      <c r="D84" s="47">
        <f>'Plain View'!D84</f>
        <v>0</v>
      </c>
      <c r="E84" s="110">
        <f>'Plain View'!E84</f>
        <v>22.87</v>
      </c>
      <c r="F84" s="109">
        <f>'Plain View'!F84</f>
        <v>4.2799999999999998E-2</v>
      </c>
      <c r="G84" s="109">
        <f>'Plain View'!G84</f>
        <v>0.1069</v>
      </c>
      <c r="H84" s="109">
        <f>'Plain View'!H84</f>
        <v>0.15820000000000001</v>
      </c>
      <c r="I84" s="109">
        <f>'Plain View'!I84</f>
        <v>0.19919999999999999</v>
      </c>
      <c r="J84" s="109">
        <f>'Plain View'!J84</f>
        <v>0.121</v>
      </c>
      <c r="K84" s="109">
        <f>'Plain View'!K84</f>
        <v>0.1216</v>
      </c>
      <c r="L84" s="91">
        <f>'Plain View'!L84</f>
        <v>45271</v>
      </c>
      <c r="M84" s="91" t="str">
        <f>'Plain View'!M84</f>
        <v>Daily</v>
      </c>
      <c r="N84" s="91">
        <f>'Plain View'!N84</f>
        <v>45246</v>
      </c>
      <c r="O84" s="89">
        <f>'Plain View'!O84</f>
        <v>0</v>
      </c>
      <c r="P84" s="98" t="str">
        <f>'Plain View'!P84</f>
        <v>http://www.destracapital.com/strategies/bluebay-destra-international-event-driven-credit-fund</v>
      </c>
      <c r="Q84" s="106" t="str">
        <f>'Plain View'!Q84</f>
        <v>https://www.morningstar.com/cefs/xnas/cedix/performance</v>
      </c>
    </row>
    <row r="85" spans="1:17">
      <c r="A85" s="48">
        <f>'Plain View'!A85</f>
        <v>0</v>
      </c>
      <c r="B85" s="47" t="str">
        <f>'Plain View'!B85</f>
        <v>Bluerock Total Income Real Estate Fund (TIPWX)</v>
      </c>
      <c r="C85" s="47" t="str">
        <f>'Plain View'!C85</f>
        <v>I</v>
      </c>
      <c r="D85" s="47">
        <f>'Plain View'!D85</f>
        <v>0</v>
      </c>
      <c r="E85" s="110">
        <f>'Plain View'!E85</f>
        <v>31.29</v>
      </c>
      <c r="F85" s="109">
        <f>'Plain View'!F85</f>
        <v>-4.7999999999999996E-3</v>
      </c>
      <c r="G85" s="109">
        <f>'Plain View'!G85</f>
        <v>-9.5699999999999993E-2</v>
      </c>
      <c r="H85" s="109">
        <f>'Plain View'!H85</f>
        <v>-0.1245</v>
      </c>
      <c r="I85" s="109">
        <f>'Plain View'!I85</f>
        <v>6.8000000000000005E-2</v>
      </c>
      <c r="J85" s="109">
        <f>'Plain View'!J85</f>
        <v>7.1599999999999997E-2</v>
      </c>
      <c r="K85" s="109">
        <f>'Plain View'!K85</f>
        <v>5.79E-2</v>
      </c>
      <c r="L85" s="91">
        <f>'Plain View'!L85</f>
        <v>45271</v>
      </c>
      <c r="M85" s="91" t="str">
        <f>'Plain View'!M85</f>
        <v>Daily</v>
      </c>
      <c r="N85" s="91">
        <f>'Plain View'!N85</f>
        <v>45246</v>
      </c>
      <c r="O85" s="89">
        <f>'Plain View'!O85</f>
        <v>0</v>
      </c>
      <c r="P85" s="98" t="str">
        <f>'Plain View'!P85</f>
        <v>https://bluerock.com/bluerock-total-income-plus-real-estate-fund/fund-performance/</v>
      </c>
      <c r="Q85" s="106" t="str">
        <f>'Plain View'!Q85</f>
        <v>http://www.schwab.wallst.com/Prospect/Research/MutualFunds/Summary.asp?symbol=TIPWX</v>
      </c>
    </row>
    <row r="86" spans="1:17">
      <c r="A86" s="48">
        <f>'Plain View'!A86</f>
        <v>0</v>
      </c>
      <c r="B86" s="48" t="str">
        <f>'Plain View'!B86</f>
        <v>Cion Ares Diversified Credit Fund (CADUX)</v>
      </c>
      <c r="C86" s="48" t="str">
        <f>'Plain View'!C86</f>
        <v>I</v>
      </c>
      <c r="D86" s="48">
        <f>'Plain View'!D86</f>
        <v>0</v>
      </c>
      <c r="E86" s="48">
        <f>'Plain View'!E86</f>
        <v>24.97</v>
      </c>
      <c r="F86" s="92">
        <f>'Plain View'!F86</f>
        <v>3.5999999999999999E-3</v>
      </c>
      <c r="G86" s="92">
        <f>'Plain View'!G86</f>
        <v>0.1206</v>
      </c>
      <c r="H86" s="92">
        <f>'Plain View'!H86</f>
        <v>0.1145</v>
      </c>
      <c r="I86" s="92">
        <f>'Plain View'!I86</f>
        <v>7.9500000000000001E-2</v>
      </c>
      <c r="J86" s="92">
        <f>'Plain View'!J86</f>
        <v>6.0299999999999999E-2</v>
      </c>
      <c r="K86" s="90">
        <f>'Plain View'!K86</f>
        <v>8.1199999999999994E-2</v>
      </c>
      <c r="L86" s="47">
        <f>'Plain View'!L86</f>
        <v>45271</v>
      </c>
      <c r="M86" s="47" t="str">
        <f>'Plain View'!M86</f>
        <v>Daily</v>
      </c>
      <c r="N86" s="90">
        <f>'Plain View'!N86</f>
        <v>45246</v>
      </c>
      <c r="O86" s="89">
        <f>'Plain View'!O86</f>
        <v>0</v>
      </c>
      <c r="P86" s="106" t="str">
        <f>'Plain View'!P86</f>
        <v>https://www.cioninvestments.com/products/cion-ares-diversified-credit-fund/#I</v>
      </c>
      <c r="Q86" s="47" t="str">
        <f>'Plain View'!Q86</f>
        <v>https://www.morningstar.com/cefs/xnas/cadux/performance</v>
      </c>
    </row>
    <row r="87" spans="1:17">
      <c r="A87" s="131">
        <f>'Plain View'!A87</f>
        <v>0</v>
      </c>
      <c r="B87" s="47" t="str">
        <f>'Plain View'!B87</f>
        <v>Cliffwater Corporate Lending Fund (CCLFX)</v>
      </c>
      <c r="C87" s="47" t="str">
        <f>'Plain View'!C87</f>
        <v xml:space="preserve">I </v>
      </c>
      <c r="D87" s="47">
        <f>'Plain View'!D87</f>
        <v>0</v>
      </c>
      <c r="E87" s="110">
        <f>'Plain View'!E87</f>
        <v>0</v>
      </c>
      <c r="F87" s="109">
        <f>'Plain View'!F87</f>
        <v>0</v>
      </c>
      <c r="G87" s="109">
        <f>'Plain View'!G87</f>
        <v>0.1144</v>
      </c>
      <c r="H87" s="109">
        <f>'Plain View'!H87</f>
        <v>0</v>
      </c>
      <c r="I87" s="109">
        <f>'Plain View'!I87</f>
        <v>9.7199999999999995E-2</v>
      </c>
      <c r="J87" s="109">
        <f>'Plain View'!J87</f>
        <v>8.8499999999999995E-2</v>
      </c>
      <c r="K87" s="109">
        <f>'Plain View'!K87</f>
        <v>0.1024</v>
      </c>
      <c r="L87" s="91">
        <f>'Plain View'!L87</f>
        <v>45271</v>
      </c>
      <c r="M87" s="91" t="str">
        <f>'Plain View'!M87</f>
        <v>Daily</v>
      </c>
      <c r="N87" s="90">
        <f>'Plain View'!N87</f>
        <v>45246</v>
      </c>
      <c r="O87" s="89">
        <f>'Plain View'!O87</f>
        <v>0</v>
      </c>
      <c r="P87" s="106" t="str">
        <f>'Plain View'!P87</f>
        <v>https://www.cliffwaterfunds.com/cclfx</v>
      </c>
      <c r="Q87" s="47" t="str">
        <f>'Plain View'!Q87</f>
        <v>https://www.morningstar.com/cefs/xnas/cclfx/performance</v>
      </c>
    </row>
    <row r="88" spans="1:17" ht="13">
      <c r="A88" s="97">
        <f>'Plain View'!A88</f>
        <v>0</v>
      </c>
      <c r="B88" s="97" t="str">
        <f>'Plain View'!B88</f>
        <v>Lord Abbett Credit Opportunities Fund (LCRDX)</v>
      </c>
      <c r="C88" s="116" t="str">
        <f>'Plain View'!C88</f>
        <v>I</v>
      </c>
      <c r="D88" s="93">
        <f>'Plain View'!D88</f>
        <v>0</v>
      </c>
      <c r="E88" s="102">
        <f>'Plain View'!E88</f>
        <v>8.76</v>
      </c>
      <c r="F88" s="102" t="str">
        <f>'Plain View'!F88</f>
        <v>-</v>
      </c>
      <c r="G88" s="102">
        <f>'Plain View'!G88</f>
        <v>8.4000000000000005E-2</v>
      </c>
      <c r="H88" s="102">
        <f>'Plain View'!H88</f>
        <v>7.5200000000000003E-2</v>
      </c>
      <c r="I88" s="102">
        <f>'Plain View'!I88</f>
        <v>5.1299999999999998E-2</v>
      </c>
      <c r="J88" s="115">
        <f>'Plain View'!J88</f>
        <v>6.4199999999999993E-2</v>
      </c>
      <c r="K88" s="115">
        <f>'Plain View'!K88</f>
        <v>9.4799999999999995E-2</v>
      </c>
      <c r="L88" s="102">
        <f>'Plain View'!L88</f>
        <v>45271</v>
      </c>
      <c r="M88" s="102" t="str">
        <f>'Plain View'!M88</f>
        <v>Daily</v>
      </c>
      <c r="N88" s="102">
        <f>'Plain View'!N88</f>
        <v>45246</v>
      </c>
      <c r="O88" s="97">
        <f>'Plain View'!O88</f>
        <v>0</v>
      </c>
      <c r="P88" s="114" t="str">
        <f>'Plain View'!P88</f>
        <v xml:space="preserve">https://www.lordabbett.com/en/strategies/interval-funds/credit-opportunities-fund.html </v>
      </c>
      <c r="Q88" s="93">
        <f>'Plain View'!Q88</f>
        <v>0</v>
      </c>
    </row>
    <row r="89" spans="1:17">
      <c r="A89" s="48">
        <f>'Plain View'!A89</f>
        <v>0</v>
      </c>
      <c r="B89" s="47" t="str">
        <f>'Plain View'!B89</f>
        <v>Average</v>
      </c>
      <c r="C89" s="47">
        <f>'Plain View'!C89</f>
        <v>0</v>
      </c>
      <c r="D89" s="47">
        <f>'Plain View'!D89</f>
        <v>0</v>
      </c>
      <c r="E89" s="110">
        <f>'Plain View'!E89</f>
        <v>0</v>
      </c>
      <c r="F89" s="109">
        <f>'Plain View'!F89</f>
        <v>1.5424999999999999E-2</v>
      </c>
      <c r="G89" s="109">
        <f>'Plain View'!G89</f>
        <v>4.883333333333334E-2</v>
      </c>
      <c r="H89" s="112">
        <f>'Plain View'!H89</f>
        <v>3.0460000000000004E-2</v>
      </c>
      <c r="I89" s="112">
        <f>'Plain View'!I89</f>
        <v>9.2866666666666667E-2</v>
      </c>
      <c r="J89" s="109">
        <f>'Plain View'!J89</f>
        <v>7.4899999999999994E-2</v>
      </c>
      <c r="K89" s="109">
        <f>'Plain View'!K89</f>
        <v>0</v>
      </c>
      <c r="L89" s="91">
        <f>'Plain View'!L89</f>
        <v>0</v>
      </c>
      <c r="M89" s="91">
        <f>'Plain View'!M89</f>
        <v>0</v>
      </c>
      <c r="N89" s="91">
        <f>'Plain View'!N89</f>
        <v>0</v>
      </c>
      <c r="O89" s="89">
        <f>'Plain View'!O89</f>
        <v>0</v>
      </c>
      <c r="P89" s="98">
        <f>'Plain View'!P89</f>
        <v>0</v>
      </c>
      <c r="Q89" s="47">
        <f>'Plain View'!Q89</f>
        <v>0</v>
      </c>
    </row>
    <row r="90" spans="1:17">
      <c r="A90" s="48" t="str">
        <f>'Plain View'!A90</f>
        <v>Alternative Investments</v>
      </c>
      <c r="B90" s="47">
        <f>'Plain View'!B90</f>
        <v>0</v>
      </c>
      <c r="C90" s="47">
        <f>'Plain View'!C90</f>
        <v>0</v>
      </c>
      <c r="D90" s="47">
        <f>'Plain View'!D90</f>
        <v>0</v>
      </c>
      <c r="E90" s="110">
        <f>'Plain View'!E90</f>
        <v>0</v>
      </c>
      <c r="F90" s="112">
        <f>'Plain View'!F90</f>
        <v>0</v>
      </c>
      <c r="G90" s="112">
        <f>'Plain View'!G90</f>
        <v>0</v>
      </c>
      <c r="H90" s="109">
        <f>'Plain View'!H90</f>
        <v>0</v>
      </c>
      <c r="I90" s="112">
        <f>'Plain View'!I90</f>
        <v>0</v>
      </c>
      <c r="J90" s="109">
        <f>'Plain View'!J90</f>
        <v>0</v>
      </c>
      <c r="K90" s="109">
        <f>'Plain View'!K90</f>
        <v>0</v>
      </c>
      <c r="L90" s="91">
        <f>'Plain View'!L90</f>
        <v>0</v>
      </c>
      <c r="M90" s="91">
        <f>'Plain View'!M90</f>
        <v>0</v>
      </c>
      <c r="N90" s="91">
        <f>'Plain View'!N90</f>
        <v>0</v>
      </c>
      <c r="O90" s="89">
        <f>'Plain View'!O90</f>
        <v>0</v>
      </c>
      <c r="P90" s="98">
        <f>'Plain View'!P90</f>
        <v>0</v>
      </c>
      <c r="Q90" s="106">
        <f>'Plain View'!Q90</f>
        <v>0</v>
      </c>
    </row>
    <row r="91" spans="1:17">
      <c r="A91" s="48">
        <f>'Plain View'!A91</f>
        <v>0</v>
      </c>
      <c r="B91" s="47" t="str">
        <f>'Plain View'!B91</f>
        <v>Name</v>
      </c>
      <c r="C91" s="47" t="str">
        <f>'Plain View'!C91</f>
        <v>Share Class</v>
      </c>
      <c r="D91" s="47">
        <f>'Plain View'!D91</f>
        <v>0</v>
      </c>
      <c r="E91" s="110" t="str">
        <f>'Plain View'!E91</f>
        <v>NAV</v>
      </c>
      <c r="F91" s="112" t="str">
        <f>'Plain View'!F91</f>
        <v>1-Month</v>
      </c>
      <c r="G91" s="112" t="str">
        <f>'Plain View'!G91</f>
        <v>YTD</v>
      </c>
      <c r="H91" s="109" t="str">
        <f>'Plain View'!H91</f>
        <v>1-Year</v>
      </c>
      <c r="I91" s="112" t="str">
        <f>'Plain View'!I91</f>
        <v>3-Year</v>
      </c>
      <c r="J91" s="109" t="str">
        <f>'Plain View'!J91</f>
        <v>Annualized Return</v>
      </c>
      <c r="K91" s="109" t="str">
        <f>'Plain View'!K91</f>
        <v>Yield</v>
      </c>
      <c r="L91" s="91" t="str">
        <f>'Plain View'!L91</f>
        <v xml:space="preserve">Value as of </v>
      </c>
      <c r="M91" s="91" t="str">
        <f>'Plain View'!M91</f>
        <v>Frequency</v>
      </c>
      <c r="N91" s="91" t="str">
        <f>'Plain View'!N91</f>
        <v>Date Updated</v>
      </c>
      <c r="O91" s="89" t="str">
        <f>'Plain View'!O91</f>
        <v>Notes</v>
      </c>
      <c r="P91" s="111" t="str">
        <f>'Plain View'!P91</f>
        <v>How to Update</v>
      </c>
      <c r="Q91" s="47">
        <f>'Plain View'!Q91</f>
        <v>0</v>
      </c>
    </row>
    <row r="92" spans="1:17">
      <c r="A92" s="48" t="str">
        <f>'Plain View'!A92</f>
        <v>Illiquid Funds</v>
      </c>
      <c r="B92" s="47" t="str">
        <f>'Plain View'!B92</f>
        <v>Blackstone REIT</v>
      </c>
      <c r="C92" s="47" t="str">
        <f>'Plain View'!C92</f>
        <v>D</v>
      </c>
      <c r="D92" s="47">
        <f>'Plain View'!D92</f>
        <v>0</v>
      </c>
      <c r="E92" s="110">
        <f>'Plain View'!E92</f>
        <v>14.56</v>
      </c>
      <c r="F92" s="112">
        <f>'Plain View'!F92</f>
        <v>-0.01</v>
      </c>
      <c r="G92" s="112">
        <f>'Plain View'!G92</f>
        <v>2.3E-2</v>
      </c>
      <c r="H92" s="112">
        <f>'Plain View'!H92</f>
        <v>1.4999999999999999E-2</v>
      </c>
      <c r="I92" s="112">
        <f>'Plain View'!I92</f>
        <v>0.14199999999999999</v>
      </c>
      <c r="J92" s="112">
        <f>'Plain View'!J92</f>
        <v>0.113</v>
      </c>
      <c r="K92" s="109">
        <f>'Plain View'!K92</f>
        <v>4.4999999999999998E-2</v>
      </c>
      <c r="L92" s="91">
        <f>'Plain View'!L92</f>
        <v>45230</v>
      </c>
      <c r="M92" s="91" t="str">
        <f>'Plain View'!M92</f>
        <v>Monthly</v>
      </c>
      <c r="N92" s="91">
        <f>'Plain View'!N92</f>
        <v>45272</v>
      </c>
      <c r="O92" s="89">
        <f>'Plain View'!O92</f>
        <v>0</v>
      </c>
      <c r="P92" s="111" t="str">
        <f>'Plain View'!P92</f>
        <v>https://www.breit.com/performance</v>
      </c>
      <c r="Q92" s="47">
        <f>'Plain View'!Q92</f>
        <v>0</v>
      </c>
    </row>
    <row r="93" spans="1:17">
      <c r="A93" s="48">
        <f>'Plain View'!A93</f>
        <v>0</v>
      </c>
      <c r="B93" s="47" t="str">
        <f>'Plain View'!B93</f>
        <v>Ares Industrial Real Estate Income Trust (Black Creek Industrial REIT IV)</v>
      </c>
      <c r="C93" s="47" t="str">
        <f>'Plain View'!C93</f>
        <v>I</v>
      </c>
      <c r="D93" s="47">
        <f>'Plain View'!D93</f>
        <v>0</v>
      </c>
      <c r="E93" s="110">
        <f>'Plain View'!E93</f>
        <v>13.6</v>
      </c>
      <c r="F93" s="112" t="str">
        <f>'Plain View'!F93</f>
        <v>-</v>
      </c>
      <c r="G93" s="109" t="str">
        <f>'Plain View'!G93</f>
        <v>-</v>
      </c>
      <c r="H93" s="109">
        <f>'Plain View'!H93</f>
        <v>-8.77E-2</v>
      </c>
      <c r="I93" s="109">
        <f>'Plain View'!I93</f>
        <v>0.1439</v>
      </c>
      <c r="J93" s="109">
        <f>'Plain View'!J93</f>
        <v>9.5200000000000007E-2</v>
      </c>
      <c r="K93" s="109">
        <f>'Plain View'!K93</f>
        <v>4.41E-2</v>
      </c>
      <c r="L93" s="91">
        <f>'Plain View'!L93</f>
        <v>45260</v>
      </c>
      <c r="M93" s="91" t="str">
        <f>'Plain View'!M93</f>
        <v>Monthly</v>
      </c>
      <c r="N93" s="91">
        <f>'Plain View'!N93</f>
        <v>45272</v>
      </c>
      <c r="O93" s="89">
        <f>'Plain View'!O93</f>
        <v>0</v>
      </c>
      <c r="P93" s="111" t="str">
        <f>'Plain View'!P93</f>
        <v>https://bcindustrialiv.com/investment-strategy/performance/</v>
      </c>
      <c r="Q93" s="47" t="str">
        <f>'Plain View'!Q93</f>
        <v>https://finance.yahoo.com/quote/ZBCIIX/performance/</v>
      </c>
    </row>
    <row r="94" spans="1:17">
      <c r="A94" s="48">
        <f>'Plain View'!A94</f>
        <v>0</v>
      </c>
      <c r="B94" s="47" t="str">
        <f>'Plain View'!B94</f>
        <v>Sila Realty Trust (Formerly Carter Validus Mission Critical REIT II)</v>
      </c>
      <c r="C94" s="47" t="str">
        <f>'Plain View'!C94</f>
        <v xml:space="preserve">I </v>
      </c>
      <c r="D94" s="47">
        <f>'Plain View'!D94</f>
        <v>0</v>
      </c>
      <c r="E94" s="110">
        <f>'Plain View'!E94</f>
        <v>8.2200000000000006</v>
      </c>
      <c r="F94" s="112" t="str">
        <f>'Plain View'!F94</f>
        <v>-</v>
      </c>
      <c r="G94" s="112" t="str">
        <f>'Plain View'!G94</f>
        <v>-</v>
      </c>
      <c r="H94" s="109" t="str">
        <f>'Plain View'!H94</f>
        <v>-</v>
      </c>
      <c r="I94" s="112" t="str">
        <f>'Plain View'!I94</f>
        <v>-</v>
      </c>
      <c r="J94" s="109" t="str">
        <f>'Plain View'!J94</f>
        <v>-</v>
      </c>
      <c r="K94" s="112">
        <f>'Plain View'!K94</f>
        <v>4.8599999999999997E-2</v>
      </c>
      <c r="L94" s="91">
        <f>'Plain View'!L94</f>
        <v>44798</v>
      </c>
      <c r="M94" s="91" t="str">
        <f>'Plain View'!M94</f>
        <v>Annually</v>
      </c>
      <c r="N94" s="91">
        <f>'Plain View'!N94</f>
        <v>45272</v>
      </c>
      <c r="O94" s="89" t="str">
        <f>'Plain View'!O94</f>
        <v>Closed to new investments on 11.27.2018</v>
      </c>
      <c r="P94" s="111" t="str">
        <f>'Plain View'!P94</f>
        <v>https://silarealtytrust.com/</v>
      </c>
      <c r="Q94" s="47">
        <f>'Plain View'!Q94</f>
        <v>0</v>
      </c>
    </row>
    <row r="95" spans="1:17">
      <c r="A95" s="48">
        <f>'Plain View'!A95</f>
        <v>0</v>
      </c>
      <c r="B95" s="47" t="str">
        <f>'Plain View'!B95</f>
        <v>CNL Healthcare Properties REIT II</v>
      </c>
      <c r="C95" s="113" t="str">
        <f>'Plain View'!C95</f>
        <v>I</v>
      </c>
      <c r="D95" s="47">
        <f>'Plain View'!D95</f>
        <v>0</v>
      </c>
      <c r="E95" s="110">
        <f>'Plain View'!E95</f>
        <v>7.38</v>
      </c>
      <c r="F95" s="112" t="str">
        <f>'Plain View'!F95</f>
        <v>-</v>
      </c>
      <c r="G95" s="112" t="str">
        <f>'Plain View'!G95</f>
        <v>-</v>
      </c>
      <c r="H95" s="109" t="str">
        <f>'Plain View'!H95</f>
        <v>-</v>
      </c>
      <c r="I95" s="109" t="str">
        <f>'Plain View'!I95</f>
        <v>-</v>
      </c>
      <c r="J95" s="109" t="str">
        <f>'Plain View'!J95</f>
        <v>-</v>
      </c>
      <c r="K95" s="109" t="str">
        <f>'Plain View'!K95</f>
        <v>-</v>
      </c>
      <c r="L95" s="91">
        <f>'Plain View'!L95</f>
        <v>44286</v>
      </c>
      <c r="M95" s="91" t="str">
        <f>'Plain View'!M95</f>
        <v>Annually</v>
      </c>
      <c r="N95" s="91">
        <f>'Plain View'!N95</f>
        <v>45272</v>
      </c>
      <c r="O95" s="89" t="str">
        <f>'Plain View'!O95</f>
        <v>Liquidated March 2020 w final distribution of $9.32/sh</v>
      </c>
      <c r="P95" s="111" t="e">
        <f>'Plain View'!#REF!</f>
        <v>#REF!</v>
      </c>
      <c r="Q95" s="47" t="str">
        <f>'Plain View'!P95</f>
        <v>info@cnl.com</v>
      </c>
    </row>
    <row r="96" spans="1:17">
      <c r="B96" s="47" t="str">
        <f>'Plain View'!B96</f>
        <v>FS Energy &amp; Power Fund</v>
      </c>
      <c r="C96" s="113" t="str">
        <f>'Plain View'!C96</f>
        <v>I</v>
      </c>
      <c r="D96" s="47">
        <f>'Plain View'!D96</f>
        <v>0</v>
      </c>
      <c r="E96" s="110">
        <f>'Plain View'!E96</f>
        <v>3.7</v>
      </c>
      <c r="F96" s="112" t="str">
        <f>'Plain View'!F96</f>
        <v>-</v>
      </c>
      <c r="G96" s="112">
        <f>'Plain View'!G96</f>
        <v>-3.56E-2</v>
      </c>
      <c r="H96" s="109">
        <f>'Plain View'!H96</f>
        <v>-3.3000000000000002E-2</v>
      </c>
      <c r="I96" s="109">
        <f>'Plain View'!I96</f>
        <v>7.2599999999999998E-2</v>
      </c>
      <c r="J96" s="109">
        <f>'Plain View'!J96</f>
        <v>-5.1000000000000004E-3</v>
      </c>
      <c r="K96" s="109">
        <f>'Plain View'!K96</f>
        <v>8.0000000000000002E-3</v>
      </c>
      <c r="L96" s="91">
        <f>'Plain View'!L96</f>
        <v>45169</v>
      </c>
      <c r="M96" s="91" t="str">
        <f>'Plain View'!M96</f>
        <v>Monthly</v>
      </c>
      <c r="N96" s="91">
        <f>'Plain View'!N96</f>
        <v>45272</v>
      </c>
      <c r="O96" s="89" t="str">
        <f>'Plain View'!O96</f>
        <v>Closed</v>
      </c>
      <c r="P96" s="111" t="e">
        <f>'Plain View'!#REF!</f>
        <v>#REF!</v>
      </c>
    </row>
    <row r="97" spans="1:17">
      <c r="B97" s="47" t="str">
        <f>'Plain View'!B97</f>
        <v>Hines Global Income Trust</v>
      </c>
      <c r="C97" s="113" t="str">
        <f>'Plain View'!C97</f>
        <v>D</v>
      </c>
      <c r="D97" s="47">
        <f>'Plain View'!D97</f>
        <v>0</v>
      </c>
      <c r="E97" s="110">
        <f>'Plain View'!E97</f>
        <v>10.14</v>
      </c>
      <c r="F97" s="112" t="str">
        <f>'Plain View'!F97</f>
        <v xml:space="preserve"> </v>
      </c>
      <c r="G97" s="112">
        <f>'Plain View'!G97</f>
        <v>-2.1600000000000001E-2</v>
      </c>
      <c r="H97" s="109">
        <f>'Plain View'!H97</f>
        <v>-3.2800000000000003E-2</v>
      </c>
      <c r="I97" s="109">
        <f>'Plain View'!I97</f>
        <v>7.5399999999999995E-2</v>
      </c>
      <c r="J97" s="109">
        <f>'Plain View'!J97</f>
        <v>6.3600000000000004E-2</v>
      </c>
      <c r="K97" s="109">
        <f>'Plain View'!K97</f>
        <v>5.7700000000000001E-2</v>
      </c>
      <c r="L97" s="91">
        <f>'Plain View'!L97</f>
        <v>45169</v>
      </c>
      <c r="M97" s="91" t="str">
        <f>'Plain View'!M97</f>
        <v>Quarterly</v>
      </c>
      <c r="N97" s="91">
        <f>'Plain View'!N97</f>
        <v>45272</v>
      </c>
      <c r="O97" s="89" t="str">
        <f>'Plain View'!O97</f>
        <v>Formerly known as Hines Gobal REIT II</v>
      </c>
      <c r="P97" s="111" t="e">
        <f>'Plain View'!#REF!</f>
        <v>#REF!</v>
      </c>
    </row>
    <row r="98" spans="1:17">
      <c r="A98" s="48">
        <f>'Plain View'!A98</f>
        <v>0</v>
      </c>
      <c r="B98" s="47" t="str">
        <f>'Plain View'!B98</f>
        <v>MSC Income Fund (Formerly HMS Income Fund)</v>
      </c>
      <c r="C98" s="47" t="str">
        <f>'Plain View'!C98</f>
        <v>-</v>
      </c>
      <c r="D98" s="47">
        <f>'Plain View'!D98</f>
        <v>0</v>
      </c>
      <c r="E98" s="110">
        <f>'Plain View'!E98</f>
        <v>7.67</v>
      </c>
      <c r="F98" s="112" t="str">
        <f>'Plain View'!F98</f>
        <v>-</v>
      </c>
      <c r="G98" s="112" t="str">
        <f>'Plain View'!G98</f>
        <v>-</v>
      </c>
      <c r="H98" s="109" t="str">
        <f>'Plain View'!H98</f>
        <v>-</v>
      </c>
      <c r="I98" s="109" t="str">
        <f>'Plain View'!I98</f>
        <v>-</v>
      </c>
      <c r="J98" s="109" t="str">
        <f>'Plain View'!J98</f>
        <v>-</v>
      </c>
      <c r="K98" s="109">
        <f>'Plain View'!K98</f>
        <v>0.128</v>
      </c>
      <c r="L98" s="91">
        <f>'Plain View'!L98</f>
        <v>45107</v>
      </c>
      <c r="M98" s="91" t="str">
        <f>'Plain View'!M98</f>
        <v>Quarterly</v>
      </c>
      <c r="N98" s="91">
        <f>'Plain View'!N98</f>
        <v>45272</v>
      </c>
      <c r="O98" s="47" t="str">
        <f>'Plain View'!O98</f>
        <v>Closed to new investors on 9.30.2017</v>
      </c>
      <c r="P98" s="111" t="str">
        <f>'Plain View'!P98</f>
        <v>https://www.mscincomefund.com/portfolio</v>
      </c>
      <c r="Q98" s="111">
        <f>'Plain View'!Q98</f>
        <v>0</v>
      </c>
    </row>
    <row r="99" spans="1:17">
      <c r="B99" s="47" t="str">
        <f>'Plain View'!B99</f>
        <v>Nuveen Global Cities REIT</v>
      </c>
      <c r="C99" s="47" t="str">
        <f>'Plain View'!C99</f>
        <v>D</v>
      </c>
      <c r="D99" s="47">
        <f>'Plain View'!D99</f>
        <v>0</v>
      </c>
      <c r="E99" s="110">
        <f>'Plain View'!E99</f>
        <v>12.11</v>
      </c>
      <c r="F99" s="112">
        <f>'Plain View'!F99</f>
        <v>5.9999999999999995E-4</v>
      </c>
      <c r="G99" s="112">
        <f>'Plain View'!G99</f>
        <v>-1.3599999999999999E-2</v>
      </c>
      <c r="H99" s="109">
        <f>'Plain View'!H99</f>
        <v>-2.29E-2</v>
      </c>
      <c r="I99" s="109">
        <f>'Plain View'!I99</f>
        <v>0.1144</v>
      </c>
      <c r="J99" s="109">
        <f>'Plain View'!J99</f>
        <v>8.8499999999999995E-2</v>
      </c>
      <c r="K99" s="109">
        <f>'Plain View'!K99</f>
        <v>5.2299999999999999E-2</v>
      </c>
      <c r="L99" s="91">
        <f>'Plain View'!L99</f>
        <v>45230</v>
      </c>
      <c r="M99" s="91" t="str">
        <f>'Plain View'!M99</f>
        <v>Monthly</v>
      </c>
      <c r="N99" s="91">
        <f>'Plain View'!N99</f>
        <v>45274</v>
      </c>
      <c r="O99" s="47">
        <f>'Plain View'!O99</f>
        <v>0</v>
      </c>
      <c r="P99" s="111" t="str">
        <f>'Plain View'!P99</f>
        <v xml:space="preserve">https://www.nuveen.com/gcreit/performance </v>
      </c>
      <c r="Q99" s="111">
        <f>'Plain View'!Q99</f>
        <v>0</v>
      </c>
    </row>
    <row r="100" spans="1:17">
      <c r="A100" s="48">
        <f>'Plain View'!A100</f>
        <v>0</v>
      </c>
      <c r="B100" s="47" t="str">
        <f>'Plain View'!B100</f>
        <v>Nuveen Churchill Private Capital Income Fund</v>
      </c>
      <c r="C100" s="47" t="str">
        <f>'Plain View'!C100</f>
        <v>I</v>
      </c>
      <c r="D100" s="47">
        <f>'Plain View'!D100</f>
        <v>0</v>
      </c>
      <c r="E100" s="110">
        <f>'Plain View'!E100</f>
        <v>24.6</v>
      </c>
      <c r="F100" s="112">
        <f>'Plain View'!F100</f>
        <v>9.7999999999999997E-3</v>
      </c>
      <c r="G100" s="112">
        <f>'Plain View'!G100</f>
        <v>9.6699999999999994E-2</v>
      </c>
      <c r="H100" s="109">
        <f>'Plain View'!H100</f>
        <v>0.1099</v>
      </c>
      <c r="I100" s="109" t="str">
        <f>'Plain View'!I100</f>
        <v>-</v>
      </c>
      <c r="J100" s="109">
        <f>'Plain View'!J100</f>
        <v>9.4899999999999998E-2</v>
      </c>
      <c r="K100" s="109">
        <f>'Plain View'!K100</f>
        <v>0.122</v>
      </c>
      <c r="L100" s="91">
        <f>'Plain View'!L100</f>
        <v>45230</v>
      </c>
      <c r="M100" s="91" t="str">
        <f>'Plain View'!M100</f>
        <v>Monthly</v>
      </c>
      <c r="N100" s="91">
        <f>'Plain View'!N100</f>
        <v>45274</v>
      </c>
      <c r="O100" s="47">
        <f>'Plain View'!O100</f>
        <v>0</v>
      </c>
      <c r="P100" s="111" t="str">
        <f>'Plain View'!P100</f>
        <v>https://www.nuveen.com/pcap/performance</v>
      </c>
      <c r="Q100" s="111">
        <f>'Plain View'!Q100</f>
        <v>0</v>
      </c>
    </row>
    <row r="101" spans="1:17">
      <c r="B101" s="47" t="str">
        <f>'Plain View'!B101</f>
        <v>Blue Owl Capital Corp II (Owl Rock Capital Corp II)</v>
      </c>
      <c r="C101" s="47" t="str">
        <f>'Plain View'!C101</f>
        <v>I</v>
      </c>
      <c r="D101" s="47">
        <f>'Plain View'!D101</f>
        <v>0</v>
      </c>
      <c r="E101" s="110">
        <f>'Plain View'!E101</f>
        <v>8.89</v>
      </c>
      <c r="F101" s="112" t="str">
        <f>'Plain View'!F101</f>
        <v>-</v>
      </c>
      <c r="G101" s="112">
        <f>'Plain View'!G101</f>
        <v>2.1999999999999999E-2</v>
      </c>
      <c r="H101" s="109">
        <f>'Plain View'!H101</f>
        <v>7.5999999999999998E-2</v>
      </c>
      <c r="I101" s="109">
        <f>'Plain View'!I101</f>
        <v>0.109</v>
      </c>
      <c r="J101" s="109">
        <f>'Plain View'!J101</f>
        <v>8.6999999999999994E-2</v>
      </c>
      <c r="K101" s="109">
        <f>'Plain View'!K101</f>
        <v>0.107</v>
      </c>
      <c r="L101" s="91">
        <f>'Plain View'!L101</f>
        <v>45016</v>
      </c>
      <c r="M101" s="91" t="str">
        <f>'Plain View'!M101</f>
        <v>Quarterly</v>
      </c>
      <c r="N101" s="91">
        <f>'Plain View'!N101</f>
        <v>45272</v>
      </c>
      <c r="O101" s="47">
        <f>'Plain View'!O101</f>
        <v>0</v>
      </c>
      <c r="P101" s="111" t="str">
        <f>'Plain View'!P101</f>
        <v>https://www.blueowlproducts.com/our-reit-bdcs</v>
      </c>
      <c r="Q101" s="111" t="str">
        <f>'Plain View'!Q101</f>
        <v>https://owlrock.com/overview-orccii/</v>
      </c>
    </row>
    <row r="102" spans="1:17">
      <c r="A102" s="48">
        <f>'Plain View'!A102</f>
        <v>0</v>
      </c>
      <c r="B102" s="47" t="str">
        <f>'Plain View'!B102</f>
        <v>Blue Owl Credit Income Corp (Owl Rock Core Income Corp)</v>
      </c>
      <c r="C102" s="47" t="str">
        <f>'Plain View'!C102</f>
        <v>D</v>
      </c>
      <c r="D102" s="47">
        <f>'Plain View'!D102</f>
        <v>0</v>
      </c>
      <c r="E102" s="110">
        <f>'Plain View'!E102</f>
        <v>9.3800000000000008</v>
      </c>
      <c r="F102" s="109">
        <f>'Plain View'!F102</f>
        <v>6.4999999999999997E-3</v>
      </c>
      <c r="G102" s="109">
        <f>'Plain View'!G102</f>
        <v>0.12039999999999999</v>
      </c>
      <c r="H102" s="109">
        <f>'Plain View'!H102</f>
        <v>0.14399999999999999</v>
      </c>
      <c r="I102" s="109" t="str">
        <f>'Plain View'!I102</f>
        <v>-</v>
      </c>
      <c r="J102" s="109">
        <f>'Plain View'!J102</f>
        <v>8.7400000000000005E-2</v>
      </c>
      <c r="K102" s="109">
        <f>'Plain View'!K102</f>
        <v>0.10150000000000001</v>
      </c>
      <c r="L102" s="91">
        <f>'Plain View'!L102</f>
        <v>45230</v>
      </c>
      <c r="M102" s="91" t="str">
        <f>'Plain View'!M102</f>
        <v>Quarterly</v>
      </c>
      <c r="N102" s="108">
        <f>'Plain View'!N102</f>
        <v>45274</v>
      </c>
      <c r="O102" s="107">
        <f>'Plain View'!O102</f>
        <v>0</v>
      </c>
      <c r="P102" s="140" t="str">
        <f>'Plain View'!P102</f>
        <v>https://ocic.com/performance</v>
      </c>
      <c r="Q102" s="93" t="str">
        <f>'Plain View'!Q102</f>
        <v>https://owlrockcoreincomecorp.com/performance/</v>
      </c>
    </row>
    <row r="103" spans="1:17">
      <c r="A103" s="105">
        <f>'Plain View'!A103</f>
        <v>0</v>
      </c>
      <c r="B103" s="105" t="str">
        <f>'Plain View'!B103</f>
        <v>Pomona</v>
      </c>
      <c r="C103" s="105" t="str">
        <f>'Plain View'!C103</f>
        <v>I</v>
      </c>
      <c r="D103" s="105">
        <f>'Plain View'!D103</f>
        <v>0</v>
      </c>
      <c r="E103" s="104">
        <f>'Plain View'!E103</f>
        <v>15.58</v>
      </c>
      <c r="F103" s="104" t="str">
        <f>'Plain View'!F103</f>
        <v>-</v>
      </c>
      <c r="G103" s="104">
        <f>'Plain View'!G103</f>
        <v>6.9199999999999998E-2</v>
      </c>
      <c r="H103" s="104">
        <f>'Plain View'!H103</f>
        <v>0.1077</v>
      </c>
      <c r="I103" s="104">
        <f>'Plain View'!I103</f>
        <v>0.192</v>
      </c>
      <c r="J103" s="104">
        <f>'Plain View'!J103</f>
        <v>0.1704</v>
      </c>
      <c r="K103" s="139" t="str">
        <f>'Plain View'!K103</f>
        <v>-</v>
      </c>
      <c r="L103" s="103">
        <f>'Plain View'!L103</f>
        <v>45199</v>
      </c>
      <c r="M103" s="103" t="str">
        <f>'Plain View'!M103</f>
        <v>Quarterly</v>
      </c>
      <c r="N103" s="47">
        <f>'Plain View'!N103</f>
        <v>45272</v>
      </c>
      <c r="O103" s="47">
        <f>'Plain View'!O103</f>
        <v>0</v>
      </c>
      <c r="P103" s="89" t="str">
        <f>'Plain View'!P103</f>
        <v xml:space="preserve">https://pomonainvestmentfund.com/page/current-performance </v>
      </c>
      <c r="Q103" s="47">
        <f>'Plain View'!Q103</f>
        <v>0</v>
      </c>
    </row>
    <row r="104" spans="1:17">
      <c r="A104" s="48">
        <f>'Plain View'!A104</f>
        <v>0</v>
      </c>
      <c r="B104" s="47" t="str">
        <f>'Plain View'!B104</f>
        <v>RREEF Property Trust (DWS)</v>
      </c>
      <c r="C104" s="47" t="str">
        <f>'Plain View'!C104</f>
        <v>I</v>
      </c>
      <c r="D104" s="47">
        <f>'Plain View'!D104</f>
        <v>0</v>
      </c>
      <c r="E104" s="47">
        <f>'Plain View'!E104</f>
        <v>14.33</v>
      </c>
      <c r="F104" s="47">
        <f>'Plain View'!F104</f>
        <v>1.55E-2</v>
      </c>
      <c r="G104" s="47">
        <f>'Plain View'!G104</f>
        <v>-8.8400000000000006E-2</v>
      </c>
      <c r="H104" s="47">
        <f>'Plain View'!H104</f>
        <v>-0.1183</v>
      </c>
      <c r="I104" s="47">
        <f>'Plain View'!I104</f>
        <v>4.9299999999999997E-2</v>
      </c>
      <c r="J104" s="47">
        <f>'Plain View'!J104</f>
        <v>7.0699999999999999E-2</v>
      </c>
      <c r="K104" s="90">
        <f>'Plain View'!K104</f>
        <v>5.3600000000000002E-2</v>
      </c>
      <c r="L104" s="47">
        <f>'Plain View'!L104</f>
        <v>45260</v>
      </c>
      <c r="M104" s="47" t="str">
        <f>'Plain View'!M104</f>
        <v>Quarterly</v>
      </c>
      <c r="N104" s="47">
        <f>'Plain View'!N104</f>
        <v>45272</v>
      </c>
      <c r="O104" s="47">
        <f>'Plain View'!O104</f>
        <v>0</v>
      </c>
      <c r="P104" s="89" t="str">
        <f>'Plain View'!P104</f>
        <v>https://www.rreefpropertytrust.com/Investor-Relations/Daily-NAV-and-Performance/</v>
      </c>
      <c r="Q104" s="47">
        <f>'Plain View'!Q104</f>
        <v>0</v>
      </c>
    </row>
    <row r="105" spans="1:17">
      <c r="A105" s="48">
        <f>'Plain View'!A105</f>
        <v>0</v>
      </c>
      <c r="B105" s="48" t="str">
        <f>'Plain View'!B105</f>
        <v>Starwood Real Estate Income Trust</v>
      </c>
      <c r="C105" s="48" t="str">
        <f>'Plain View'!C105</f>
        <v>D</v>
      </c>
      <c r="D105" s="48">
        <f>'Plain View'!D105</f>
        <v>0</v>
      </c>
      <c r="E105" s="48">
        <f>'Plain View'!E105</f>
        <v>24.37</v>
      </c>
      <c r="F105" s="129">
        <f>'Plain View'!F105</f>
        <v>-8.0000000000000004E-4</v>
      </c>
      <c r="G105" s="129">
        <f>'Plain View'!G105</f>
        <v>-2.7900000000000001E-2</v>
      </c>
      <c r="H105" s="129">
        <f>'Plain View'!H105</f>
        <v>-6.4399999999999999E-2</v>
      </c>
      <c r="I105" s="129">
        <f>'Plain View'!I105</f>
        <v>9.7600000000000006E-2</v>
      </c>
      <c r="J105" s="129">
        <f>'Plain View'!J105</f>
        <v>9.4100000000000003E-2</v>
      </c>
      <c r="K105" s="129">
        <f>'Plain View'!K105</f>
        <v>4.82E-2</v>
      </c>
      <c r="L105" s="129">
        <f>'Plain View'!L105</f>
        <v>45230</v>
      </c>
      <c r="M105" s="129" t="str">
        <f>'Plain View'!M105</f>
        <v>Monthly</v>
      </c>
      <c r="N105" s="47">
        <f>'Plain View'!N105</f>
        <v>45272</v>
      </c>
      <c r="O105" s="47">
        <f>'Plain View'!O105</f>
        <v>0</v>
      </c>
      <c r="P105" s="132" t="str">
        <f>'Plain View'!P105</f>
        <v>https://www.starwoodnav.reit/performance/</v>
      </c>
      <c r="Q105" s="47">
        <f>'Plain View'!Q105</f>
        <v>0</v>
      </c>
    </row>
    <row r="106" spans="1:17">
      <c r="A106" s="48">
        <f>'Plain View'!A106</f>
        <v>0</v>
      </c>
      <c r="B106" s="47" t="str">
        <f>'Plain View'!B106</f>
        <v>Average</v>
      </c>
      <c r="C106" s="47">
        <f>'Plain View'!C106</f>
        <v>0</v>
      </c>
      <c r="D106" s="47">
        <f>'Plain View'!D106</f>
        <v>0</v>
      </c>
      <c r="E106" s="47">
        <f>'Plain View'!E106</f>
        <v>0</v>
      </c>
      <c r="F106" s="100">
        <f>'Plain View'!F106</f>
        <v>3.6000000000000003E-3</v>
      </c>
      <c r="G106" s="100">
        <f>'Plain View'!G106</f>
        <v>1.4419999999999994E-2</v>
      </c>
      <c r="H106" s="100">
        <f>'Plain View'!H106</f>
        <v>8.4999999999999989E-3</v>
      </c>
      <c r="I106" s="100">
        <f>'Plain View'!I106</f>
        <v>0.11068888888888889</v>
      </c>
      <c r="J106" s="100">
        <f>'Plain View'!J106</f>
        <v>8.7245454545454529E-2</v>
      </c>
      <c r="K106" s="90">
        <f>'Plain View'!K106</f>
        <v>6.8000000000000005E-2</v>
      </c>
      <c r="L106" s="99">
        <f>'Plain View'!L106</f>
        <v>0</v>
      </c>
      <c r="M106" s="90">
        <f>'Plain View'!M106</f>
        <v>0</v>
      </c>
      <c r="N106" s="99">
        <f>'Plain View'!N106</f>
        <v>0</v>
      </c>
      <c r="O106" s="47">
        <f>'Plain View'!O106</f>
        <v>0</v>
      </c>
      <c r="P106" s="133">
        <f>'Plain View'!P106</f>
        <v>0</v>
      </c>
      <c r="Q106" s="47">
        <f>'Plain View'!Q106</f>
        <v>0</v>
      </c>
    </row>
    <row r="107" spans="1:17">
      <c r="A107" s="48">
        <f>'Plain View'!A107</f>
        <v>0</v>
      </c>
      <c r="B107" s="47">
        <f>'Plain View'!B107</f>
        <v>0</v>
      </c>
      <c r="C107" s="47">
        <f>'Plain View'!C107</f>
        <v>0</v>
      </c>
      <c r="D107" s="47">
        <f>'Plain View'!D107</f>
        <v>0</v>
      </c>
      <c r="E107" s="47">
        <f>'Plain View'!E107</f>
        <v>0</v>
      </c>
      <c r="F107" s="100">
        <f>'Plain View'!F107</f>
        <v>0</v>
      </c>
      <c r="G107" s="100">
        <f>'Plain View'!G107</f>
        <v>0</v>
      </c>
      <c r="H107" s="100">
        <f>'Plain View'!H107</f>
        <v>0</v>
      </c>
      <c r="I107" s="100">
        <f>'Plain View'!I107</f>
        <v>0</v>
      </c>
      <c r="J107" s="100">
        <f>'Plain View'!J107</f>
        <v>0</v>
      </c>
      <c r="K107" s="90">
        <f>'Plain View'!K107</f>
        <v>0</v>
      </c>
      <c r="L107" s="99">
        <f>'Plain View'!L107</f>
        <v>0</v>
      </c>
      <c r="M107" s="90">
        <f>'Plain View'!M107</f>
        <v>0</v>
      </c>
      <c r="N107" s="99">
        <f>'Plain View'!N107</f>
        <v>0</v>
      </c>
      <c r="O107" s="47">
        <f>'Plain View'!O107</f>
        <v>0</v>
      </c>
      <c r="P107" s="133">
        <f>'Plain View'!P107</f>
        <v>0</v>
      </c>
      <c r="Q107" s="47">
        <f>'Plain View'!Q107</f>
        <v>0</v>
      </c>
    </row>
    <row r="108" spans="1:17">
      <c r="A108" s="48">
        <f>'Plain View'!A108</f>
        <v>0</v>
      </c>
      <c r="B108" s="48">
        <f>'Plain View'!B108</f>
        <v>0</v>
      </c>
      <c r="C108" s="48">
        <f>'Plain View'!C108</f>
        <v>0</v>
      </c>
      <c r="D108" s="48">
        <f>'Plain View'!D108</f>
        <v>0</v>
      </c>
      <c r="E108" s="48">
        <f>'Plain View'!E108</f>
        <v>0</v>
      </c>
      <c r="F108" s="92">
        <f>'Plain View'!F108</f>
        <v>0</v>
      </c>
      <c r="G108" s="92">
        <f>'Plain View'!G108</f>
        <v>0</v>
      </c>
      <c r="H108" s="92">
        <f>'Plain View'!H108</f>
        <v>0</v>
      </c>
      <c r="I108" s="92">
        <f>'Plain View'!I108</f>
        <v>0</v>
      </c>
      <c r="J108" s="92">
        <f>'Plain View'!J108</f>
        <v>0</v>
      </c>
      <c r="K108" s="90">
        <f>'Plain View'!K108</f>
        <v>0</v>
      </c>
      <c r="L108" s="47">
        <f>'Plain View'!L108</f>
        <v>0</v>
      </c>
      <c r="M108" s="47">
        <f>'Plain View'!M108</f>
        <v>0</v>
      </c>
      <c r="N108" s="47">
        <f>'Plain View'!N108</f>
        <v>0</v>
      </c>
      <c r="O108" s="47"/>
      <c r="P108" s="89"/>
    </row>
  </sheetData>
  <conditionalFormatting sqref="D10:J15 D19:J20 D24:H24 D27:G27 F106:J107 D33:J45 D71:J76 D49:J65 F80:J85 F89:J102">
    <cfRule type="cellIs" dxfId="21" priority="15" operator="equal">
      <formula>"-"</formula>
    </cfRule>
    <cfRule type="cellIs" dxfId="20" priority="16" operator="greaterThanOrEqual">
      <formula>0.2</formula>
    </cfRule>
    <cfRule type="cellIs" dxfId="19" priority="17" operator="greaterThanOrEqual">
      <formula>0.1</formula>
    </cfRule>
    <cfRule type="cellIs" dxfId="18" priority="18" operator="greaterThanOrEqual">
      <formula>0.05</formula>
    </cfRule>
    <cfRule type="cellIs" dxfId="17" priority="19" operator="lessThanOrEqual">
      <formula>-0.2</formula>
    </cfRule>
    <cfRule type="cellIs" dxfId="16" priority="20" operator="lessThanOrEqual">
      <formula>-0.1</formula>
    </cfRule>
    <cfRule type="cellIs" dxfId="15" priority="21" operator="lessThanOrEqual">
      <formula>-0.05</formula>
    </cfRule>
  </conditionalFormatting>
  <conditionalFormatting sqref="B74:P74 B32:P32 A7:P31 A33:P67 A69:P73 B68:P68 A75:P108">
    <cfRule type="cellIs" dxfId="14" priority="22" operator="equal">
      <formula>0</formula>
    </cfRule>
  </conditionalFormatting>
  <conditionalFormatting sqref="D31:D32">
    <cfRule type="cellIs" dxfId="13" priority="8" operator="equal">
      <formula>"-"</formula>
    </cfRule>
    <cfRule type="cellIs" dxfId="12" priority="9" operator="greaterThanOrEqual">
      <formula>0.2</formula>
    </cfRule>
    <cfRule type="cellIs" dxfId="11" priority="10" operator="greaterThanOrEqual">
      <formula>0.1</formula>
    </cfRule>
    <cfRule type="cellIs" dxfId="10" priority="11" operator="greaterThanOrEqual">
      <formula>0.05</formula>
    </cfRule>
    <cfRule type="cellIs" dxfId="9" priority="12" operator="lessThanOrEqual">
      <formula>-0.2</formula>
    </cfRule>
    <cfRule type="cellIs" dxfId="8" priority="13" operator="lessThanOrEqual">
      <formula>-0.1</formula>
    </cfRule>
    <cfRule type="cellIs" dxfId="7" priority="14" operator="lessThanOrEqual">
      <formula>-0.05</formula>
    </cfRule>
  </conditionalFormatting>
  <conditionalFormatting sqref="E31:K32">
    <cfRule type="cellIs" dxfId="6" priority="1" operator="equal">
      <formula>"-"</formula>
    </cfRule>
    <cfRule type="cellIs" dxfId="5" priority="2" operator="greaterThanOrEqual">
      <formula>0.2</formula>
    </cfRule>
    <cfRule type="cellIs" dxfId="4" priority="3" operator="greaterThanOrEqual">
      <formula>0.1</formula>
    </cfRule>
    <cfRule type="cellIs" dxfId="3" priority="4" operator="greaterThanOrEqual">
      <formula>0.05</formula>
    </cfRule>
    <cfRule type="cellIs" dxfId="2" priority="5" operator="lessThanOrEqual">
      <formula>-0.2</formula>
    </cfRule>
    <cfRule type="cellIs" dxfId="1" priority="6" operator="lessThanOrEqual">
      <formula>-0.1</formula>
    </cfRule>
    <cfRule type="cellIs" dxfId="0" priority="7" operator="lessThanOrEqual">
      <formula>-0.05</formula>
    </cfRule>
  </conditionalFormatting>
  <pageMargins left="0.7" right="0.7" top="0.75" bottom="0.5" header="0.5" footer="0.3"/>
  <pageSetup scale="57" orientation="portrait" r:id="rId1"/>
  <headerFooter>
    <oddHeader>&amp;L&amp;"-,Bold"WEEKLY INVESTMENT REPORT</oddHeader>
    <oddFooter>&amp;RPage &amp;P of &amp;N</oddFooter>
  </headerFooter>
  <rowBreaks count="1" manualBreakCount="1">
    <brk id="47" max="12"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B4854-CB37-4347-8711-2C7BD3F19867}">
  <sheetPr codeName="Sheet9"/>
  <dimension ref="A1:P4"/>
  <sheetViews>
    <sheetView zoomScale="140" zoomScaleNormal="140" workbookViewId="0">
      <selection activeCell="B3" sqref="B3:B4"/>
    </sheetView>
  </sheetViews>
  <sheetFormatPr baseColWidth="10" defaultColWidth="9.1640625" defaultRowHeight="12"/>
  <cols>
    <col min="1" max="7" width="9.1640625" style="47"/>
    <col min="8" max="8" width="11" style="47" bestFit="1" customWidth="1"/>
    <col min="9" max="16384" width="9.1640625" style="47"/>
  </cols>
  <sheetData>
    <row r="1" spans="1:16">
      <c r="A1" s="47" t="s">
        <v>662</v>
      </c>
      <c r="J1" s="47" t="s">
        <v>663</v>
      </c>
    </row>
    <row r="2" spans="1:16">
      <c r="A2" s="161"/>
      <c r="B2" s="143" t="s">
        <v>664</v>
      </c>
      <c r="C2" s="143" t="s">
        <v>665</v>
      </c>
      <c r="D2" s="143" t="s">
        <v>666</v>
      </c>
      <c r="E2" s="143" t="s">
        <v>667</v>
      </c>
      <c r="F2" s="143" t="s">
        <v>512</v>
      </c>
      <c r="G2" s="143" t="s">
        <v>668</v>
      </c>
      <c r="H2" s="143" t="s">
        <v>669</v>
      </c>
      <c r="I2" s="160" t="s">
        <v>670</v>
      </c>
      <c r="J2" s="143" t="s">
        <v>665</v>
      </c>
      <c r="K2" s="143" t="s">
        <v>666</v>
      </c>
      <c r="L2" s="143" t="s">
        <v>667</v>
      </c>
      <c r="M2" s="143" t="s">
        <v>512</v>
      </c>
      <c r="N2" s="143" t="s">
        <v>668</v>
      </c>
      <c r="O2" s="143" t="s">
        <v>669</v>
      </c>
      <c r="P2" s="160" t="s">
        <v>670</v>
      </c>
    </row>
    <row r="3" spans="1:16">
      <c r="A3" s="159" t="s">
        <v>671</v>
      </c>
      <c r="B3" s="158">
        <v>96.55</v>
      </c>
      <c r="C3" s="158">
        <v>93.53</v>
      </c>
      <c r="D3" s="158">
        <v>84.42</v>
      </c>
      <c r="E3" s="158">
        <v>72.260000000000005</v>
      </c>
      <c r="F3" s="158">
        <v>85.91</v>
      </c>
      <c r="G3" s="158">
        <v>86.27</v>
      </c>
      <c r="H3" s="158">
        <v>40.950000000000003</v>
      </c>
      <c r="I3" s="157">
        <v>84.98</v>
      </c>
      <c r="J3" s="156">
        <f>($B$3-C3)/C3</f>
        <v>3.228910509996788E-2</v>
      </c>
      <c r="K3" s="156">
        <f>($B$3-D3)/D3</f>
        <v>0.14368633025349437</v>
      </c>
      <c r="L3" s="156">
        <f>($B$3-E3)/E3</f>
        <v>0.33614724605590907</v>
      </c>
      <c r="M3" s="156">
        <f>($B$3-F3)/F3</f>
        <v>0.12385054126411361</v>
      </c>
      <c r="N3" s="156">
        <f>($B$3-G3)/G3</f>
        <v>0.11916077431320275</v>
      </c>
      <c r="O3" s="156">
        <f>(($B$3-H3)/H3)/3</f>
        <v>0.45258445258445251</v>
      </c>
      <c r="P3" s="155">
        <f>(($B$3-I3)/I3)/5</f>
        <v>2.7229936455636605E-2</v>
      </c>
    </row>
    <row r="4" spans="1:16">
      <c r="A4" s="154" t="s">
        <v>414</v>
      </c>
      <c r="B4" s="153">
        <v>93.72</v>
      </c>
      <c r="C4" s="153">
        <v>89.66</v>
      </c>
      <c r="D4" s="153">
        <v>80.099999999999994</v>
      </c>
      <c r="E4" s="153">
        <v>67.7</v>
      </c>
      <c r="F4" s="153">
        <v>80.260000000000005</v>
      </c>
      <c r="G4" s="153">
        <v>78.5</v>
      </c>
      <c r="H4" s="153">
        <v>37.049999999999997</v>
      </c>
      <c r="I4" s="152">
        <v>75.23</v>
      </c>
      <c r="J4" s="151">
        <f>($B$4-C4)/C4</f>
        <v>4.5282177113540066E-2</v>
      </c>
      <c r="K4" s="151">
        <f>($B$4-D4)/D4</f>
        <v>0.17003745318352068</v>
      </c>
      <c r="L4" s="151">
        <f>($B$4-E4)/E4</f>
        <v>0.38434268833087143</v>
      </c>
      <c r="M4" s="151">
        <f>($B$4-F4)/F4</f>
        <v>0.16770495888362813</v>
      </c>
      <c r="N4" s="151">
        <f>($B$4-G4)/G4</f>
        <v>0.19388535031847132</v>
      </c>
      <c r="O4" s="151">
        <f>(($B$4-H4)/H4)/3</f>
        <v>0.5098515519568152</v>
      </c>
      <c r="P4" s="150">
        <f>(($B$4-I4)/I4)/5</f>
        <v>4.9155921839691599E-2</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5C3EDDD-705E-45AF-A893-0FE98A84C5D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17</vt:i4>
      </vt:variant>
      <vt:variant>
        <vt:lpstr>Named Ranges</vt:lpstr>
      </vt:variant>
      <vt:variant>
        <vt:i4>12</vt:i4>
      </vt:variant>
    </vt:vector>
  </HeadingPairs>
  <TitlesOfParts>
    <vt:vector size="29" baseType="lpstr">
      <vt:lpstr>Inputs</vt:lpstr>
      <vt:lpstr>Old Investment Proposal</vt:lpstr>
      <vt:lpstr>Investment Proposal Inputs</vt:lpstr>
      <vt:lpstr>Investment Proposal Errors</vt:lpstr>
      <vt:lpstr>Investment Proposal</vt:lpstr>
      <vt:lpstr>Cell Styles</vt:lpstr>
      <vt:lpstr>Errors</vt:lpstr>
      <vt:lpstr>Inv. Proposal Calculations</vt:lpstr>
      <vt:lpstr>Inv. Proposal Calculations Copy</vt:lpstr>
      <vt:lpstr>Investment Sleeves</vt:lpstr>
      <vt:lpstr>Plain View Mapped to ACT &amp; D</vt:lpstr>
      <vt:lpstr>Asset Class Tables and Dropdown</vt:lpstr>
      <vt:lpstr>Data Gathering</vt:lpstr>
      <vt:lpstr>Implementation</vt:lpstr>
      <vt:lpstr>Plain View</vt:lpstr>
      <vt:lpstr>Heat Map View</vt:lpstr>
      <vt:lpstr>Calcs</vt:lpstr>
      <vt:lpstr>AbsoluteReturn</vt:lpstr>
      <vt:lpstr>Advisor</vt:lpstr>
      <vt:lpstr>Other</vt:lpstr>
      <vt:lpstr>'Data Gathering'!Print_Area</vt:lpstr>
      <vt:lpstr>'Heat Map View'!Print_Area</vt:lpstr>
      <vt:lpstr>'Investment Proposal'!Print_Area</vt:lpstr>
      <vt:lpstr>'Old Investment Proposal'!Print_Area</vt:lpstr>
      <vt:lpstr>'Plain View'!Print_Area</vt:lpstr>
      <vt:lpstr>PrivateEquity</vt:lpstr>
      <vt:lpstr>PrivateLending</vt:lpstr>
      <vt:lpstr>PublicEquity</vt:lpstr>
      <vt:lpstr>RealEstate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Luke Skifich</dc:creator>
  <cp:keywords/>
  <dc:description/>
  <cp:lastModifiedBy>London Chamberlain</cp:lastModifiedBy>
  <cp:revision/>
  <cp:lastPrinted>2024-04-19T20:59:13Z</cp:lastPrinted>
  <dcterms:created xsi:type="dcterms:W3CDTF">2019-06-21T15:16:54Z</dcterms:created>
  <dcterms:modified xsi:type="dcterms:W3CDTF">2024-04-21T00:15:04Z</dcterms:modified>
  <cp:category/>
  <cp:contentStatus/>
</cp:coreProperties>
</file>